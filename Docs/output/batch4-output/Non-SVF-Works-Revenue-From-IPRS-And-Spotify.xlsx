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n-SVF Works Revenue" sheetId="1" state="visible" r:id="rId1"/>
  </sheets>
  <definedNames>
    <definedName name="_xlnm._FilterDatabase" localSheetId="0" hidden="1">'Non-SVF Works Revenue'!$A$2:$AN$36</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h:mm:ss"/>
  </numFmts>
  <fonts count="4">
    <font>
      <name val="Calibri"/>
      <family val="2"/>
      <color theme="1"/>
      <sz val="11"/>
      <scheme val="minor"/>
    </font>
    <font>
      <b val="1"/>
    </font>
    <font>
      <b val="1"/>
      <color rgb="001F1F1F"/>
      <sz val="12"/>
    </font>
    <font>
      <color rgb="00404040"/>
      <sz val="10"/>
    </font>
  </fonts>
  <fills count="12">
    <fill>
      <patternFill/>
    </fill>
    <fill>
      <patternFill patternType="gray125"/>
    </fill>
    <fill>
      <patternFill patternType="solid">
        <fgColor rgb="00D9D9D9"/>
      </patternFill>
    </fill>
    <fill>
      <patternFill patternType="solid">
        <fgColor rgb="00BFD9BF"/>
      </patternFill>
    </fill>
    <fill>
      <patternFill patternType="solid">
        <fgColor rgb="00B7CBE4"/>
      </patternFill>
    </fill>
    <fill>
      <patternFill patternType="solid">
        <fgColor rgb="00C9B99B"/>
      </patternFill>
    </fill>
    <fill>
      <patternFill patternType="solid">
        <fgColor rgb="00D8CBB3"/>
      </patternFill>
    </fill>
    <fill>
      <patternFill patternType="solid">
        <fgColor rgb="00D8CBB7"/>
      </patternFill>
    </fill>
    <fill>
      <patternFill patternType="solid">
        <fgColor rgb="00F2F2F2"/>
      </patternFill>
    </fill>
    <fill>
      <patternFill patternType="solid">
        <fgColor rgb="00E8F2E8"/>
      </patternFill>
    </fill>
    <fill>
      <patternFill patternType="solid">
        <fgColor rgb="00E6EDF7"/>
      </patternFill>
    </fill>
    <fill>
      <patternFill patternType="solid">
        <fgColor rgb="00F0E9DC"/>
      </patternFill>
    </fill>
  </fills>
  <borders count="5">
    <border>
      <left/>
      <right/>
      <top/>
      <bottom/>
      <diagonal/>
    </border>
    <border>
      <left style="thin">
        <color rgb="00BFBFBF"/>
      </left>
      <right style="thin">
        <color rgb="00BFBFBF"/>
      </right>
      <top style="thin">
        <color rgb="00BFBFBF"/>
      </top>
      <bottom style="thin">
        <color rgb="00BFBFBF"/>
      </bottom>
    </border>
    <border>
      <left style="medium">
        <color rgb="00808080"/>
      </left>
    </border>
    <border>
      <top style="medium">
        <color rgb="00808080"/>
      </top>
    </border>
    <border>
      <left style="medium">
        <color rgb="00808080"/>
      </left>
      <top style="medium">
        <color rgb="00808080"/>
      </top>
    </border>
  </borders>
  <cellStyleXfs count="1">
    <xf numFmtId="0" fontId="0" fillId="0" borderId="0"/>
  </cellStyleXfs>
  <cellXfs count="40">
    <xf numFmtId="0" fontId="0" fillId="0" borderId="0" pivotButton="0" quotePrefix="0" xfId="0"/>
    <xf numFmtId="0" fontId="2" fillId="3" borderId="2" applyAlignment="1" pivotButton="0" quotePrefix="0" xfId="0">
      <alignment horizontal="center" vertical="center"/>
    </xf>
    <xf numFmtId="0" fontId="0" fillId="3" borderId="0" pivotButton="0" quotePrefix="0" xfId="0"/>
    <xf numFmtId="0" fontId="2" fillId="4" borderId="2" applyAlignment="1" pivotButton="0" quotePrefix="0" xfId="0">
      <alignment horizontal="center" vertical="center"/>
    </xf>
    <xf numFmtId="0" fontId="0" fillId="4" borderId="0" pivotButton="0" quotePrefix="0" xfId="0"/>
    <xf numFmtId="0" fontId="2" fillId="5" borderId="2" applyAlignment="1" pivotButton="0" quotePrefix="0" xfId="0">
      <alignment horizontal="center" vertical="center"/>
    </xf>
    <xf numFmtId="0" fontId="0" fillId="5" borderId="0" pivotButton="0" quotePrefix="0" xfId="0"/>
    <xf numFmtId="0" fontId="2" fillId="7" borderId="2" applyAlignment="1" pivotButton="0" quotePrefix="0" xfId="0">
      <alignment horizontal="center" vertical="center"/>
    </xf>
    <xf numFmtId="0" fontId="0" fillId="7"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0" fillId="8" borderId="0" pivotButton="0" quotePrefix="0" xfId="0"/>
    <xf numFmtId="4" fontId="1" fillId="8" borderId="0" pivotButton="0" quotePrefix="0" xfId="0"/>
    <xf numFmtId="164" fontId="0" fillId="9" borderId="2" pivotButton="0" quotePrefix="0" xfId="0"/>
    <xf numFmtId="4" fontId="0" fillId="9" borderId="0" pivotButton="0" quotePrefix="0" xfId="0"/>
    <xf numFmtId="0" fontId="0" fillId="9" borderId="0" pivotButton="0" quotePrefix="0" xfId="0"/>
    <xf numFmtId="164" fontId="0" fillId="10" borderId="2" pivotButton="0" quotePrefix="0" xfId="0"/>
    <xf numFmtId="4" fontId="0" fillId="10" borderId="0" pivotButton="0" quotePrefix="0" xfId="0"/>
    <xf numFmtId="0" fontId="0" fillId="10" borderId="0" pivotButton="0" quotePrefix="0" xfId="0"/>
    <xf numFmtId="164" fontId="0" fillId="10" borderId="0" pivotButton="0" quotePrefix="0" xfId="0"/>
    <xf numFmtId="4" fontId="0" fillId="9" borderId="2" pivotButton="0" quotePrefix="0" xfId="0"/>
    <xf numFmtId="0" fontId="0" fillId="11" borderId="2" applyAlignment="1" pivotButton="0" quotePrefix="0" xfId="0">
      <alignment vertical="center" wrapText="1"/>
    </xf>
    <xf numFmtId="0" fontId="0" fillId="11" borderId="0" applyAlignment="1" pivotButton="0" quotePrefix="0" xfId="0">
      <alignment vertical="center" wrapText="1"/>
    </xf>
    <xf numFmtId="4" fontId="1" fillId="0" borderId="0" pivotButton="0" quotePrefix="0" xfId="0"/>
    <xf numFmtId="0" fontId="1" fillId="2" borderId="3" pivotButton="0" quotePrefix="0" xfId="0"/>
    <xf numFmtId="4" fontId="1" fillId="2" borderId="3" pivotButton="0" quotePrefix="0" xfId="0"/>
    <xf numFmtId="0" fontId="1" fillId="3" borderId="4" pivotButton="0" quotePrefix="0" xfId="0"/>
    <xf numFmtId="4" fontId="1" fillId="3" borderId="3" pivotButton="0" quotePrefix="0" xfId="0"/>
    <xf numFmtId="0" fontId="1" fillId="3" borderId="3" pivotButton="0" quotePrefix="0" xfId="0"/>
    <xf numFmtId="0" fontId="1" fillId="4" borderId="4" pivotButton="0" quotePrefix="0" xfId="0"/>
    <xf numFmtId="4" fontId="1" fillId="4" borderId="3" pivotButton="0" quotePrefix="0" xfId="0"/>
    <xf numFmtId="0" fontId="1" fillId="4" borderId="3" pivotButton="0" quotePrefix="0" xfId="0"/>
    <xf numFmtId="4" fontId="1" fillId="5" borderId="4" pivotButton="0" quotePrefix="0" xfId="0"/>
    <xf numFmtId="4" fontId="1" fillId="5" borderId="3" pivotButton="0" quotePrefix="0" xfId="0"/>
    <xf numFmtId="0" fontId="1" fillId="7" borderId="4" pivotButton="0" quotePrefix="0" xfId="0"/>
    <xf numFmtId="0" fontId="1" fillId="7" borderId="3"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9"/>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34" customWidth="1" min="1" max="1"/>
    <col width="44" customWidth="1" min="2" max="2"/>
    <col width="13" customWidth="1" min="3" max="3"/>
    <col width="16" customWidth="1" min="4" max="4"/>
    <col width="20" customWidth="1" min="5" max="5"/>
    <col width="13" customWidth="1" min="6" max="6"/>
    <col width="13" customWidth="1" min="7" max="7"/>
    <col width="22" customWidth="1" min="8" max="8"/>
    <col width="18" customWidth="1" min="9" max="9"/>
    <col width="13" customWidth="1" min="10" max="10"/>
    <col width="13" customWidth="1" min="11" max="11"/>
    <col width="13" customWidth="1" min="12" max="12"/>
    <col width="24" customWidth="1" min="13" max="13"/>
    <col width="13" customWidth="1" min="14" max="14"/>
    <col width="13" customWidth="1" min="15" max="15"/>
    <col width="13" customWidth="1" min="16" max="16"/>
    <col width="24" customWidth="1" min="17" max="17"/>
    <col width="13" customWidth="1" min="18" max="18"/>
    <col width="13" customWidth="1" min="19" max="19"/>
    <col width="13" customWidth="1" min="20" max="20"/>
    <col width="24" customWidth="1" min="21" max="21"/>
    <col width="13" customWidth="1" min="22" max="22"/>
    <col width="13" customWidth="1" min="23" max="23"/>
    <col width="13" customWidth="1" min="24" max="24"/>
    <col width="24" customWidth="1" min="25" max="25"/>
    <col width="13" customWidth="1" min="26" max="26"/>
    <col width="13" customWidth="1" min="27" max="27"/>
    <col width="13" customWidth="1" min="28" max="28"/>
    <col width="24" customWidth="1" min="29" max="29"/>
    <col width="13" customWidth="1" min="30" max="30"/>
    <col width="13" customWidth="1" min="31" max="31"/>
    <col width="13" customWidth="1" min="32" max="32"/>
    <col width="24" customWidth="1" min="33" max="33"/>
    <col width="17" customWidth="1" min="34" max="34"/>
    <col width="18" customWidth="1" min="35" max="35"/>
    <col width="17" customWidth="1" min="36" max="36"/>
    <col width="20" customWidth="1" min="37" max="37"/>
    <col width="46" customWidth="1" min="38" max="38"/>
    <col width="34" customWidth="1" min="39" max="39"/>
    <col width="16" customWidth="1" min="40" max="40"/>
  </cols>
  <sheetData>
    <row r="1" ht="24" customHeight="1">
      <c r="F1" s="1" t="inlineStr">
        <is>
          <t>SECTION A  -  REVENUE FROM IPRS   (Source 2: Spotify royalty distribution statement for the period October 2025 to March 2026, received from IPRS)</t>
        </is>
      </c>
      <c r="G1" s="2" t="n"/>
      <c r="H1" s="2" t="n"/>
      <c r="I1" s="2" t="n"/>
      <c r="J1" s="3" t="inlineStr">
        <is>
          <t>SECTION B  -  REVENUE EARNED FROM SPOTIFY   (Source 3: Raw_Spotify_MRM_Oct25_Mar26 - gross revenue Spotify reported against the ISRC, month by month)</t>
        </is>
      </c>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5" t="inlineStr">
        <is>
          <t>TOTAL REVENUE  (Indian Financial Year, 1 Apr - 31 Mar - both periods fall in FY 2025-26)</t>
        </is>
      </c>
      <c r="AI1" s="6" t="n"/>
      <c r="AJ1" s="6" t="n"/>
      <c r="AK1" s="7" t="inlineStr">
        <is>
          <t>AUDIT / TRACEABILITY</t>
        </is>
      </c>
      <c r="AL1" s="8" t="n"/>
      <c r="AM1" s="8" t="n"/>
      <c r="AN1" s="8" t="n"/>
    </row>
    <row r="2" ht="32" customHeight="1">
      <c r="A2" s="9" t="inlineStr">
        <is>
          <t>ISRC</t>
        </is>
      </c>
      <c r="B2" s="9" t="inlineStr">
        <is>
          <t>Song Name</t>
        </is>
      </c>
      <c r="C2" s="9" t="inlineStr">
        <is>
          <t>Internal No</t>
        </is>
      </c>
      <c r="D2" s="9" t="inlineStr">
        <is>
          <t>Total Royalty From IPRS</t>
        </is>
      </c>
      <c r="E2" s="9" t="inlineStr">
        <is>
          <t>Total Revenue From Spotify (MRM)</t>
        </is>
      </c>
      <c r="F2" s="10" t="inlineStr">
        <is>
          <t>Date</t>
        </is>
      </c>
      <c r="G2" s="10" t="inlineStr">
        <is>
          <t>Amount</t>
        </is>
      </c>
      <c r="H2" s="10" t="inlineStr">
        <is>
          <t>Period</t>
        </is>
      </c>
      <c r="I2" s="10" t="inlineStr">
        <is>
          <t>Distribution Number</t>
        </is>
      </c>
      <c r="J2" s="11" t="inlineStr">
        <is>
          <t>Date</t>
        </is>
      </c>
      <c r="K2" s="11" t="inlineStr">
        <is>
          <t>Amount</t>
        </is>
      </c>
      <c r="L2" s="11" t="inlineStr">
        <is>
          <t>Period</t>
        </is>
      </c>
      <c r="M2" s="11" t="inlineStr">
        <is>
          <t>Distribution Number</t>
        </is>
      </c>
      <c r="N2" s="11" t="inlineStr">
        <is>
          <t>Date</t>
        </is>
      </c>
      <c r="O2" s="11" t="inlineStr">
        <is>
          <t>Amount</t>
        </is>
      </c>
      <c r="P2" s="11" t="inlineStr">
        <is>
          <t>Period</t>
        </is>
      </c>
      <c r="Q2" s="11" t="inlineStr">
        <is>
          <t>Distribution Number</t>
        </is>
      </c>
      <c r="R2" s="11" t="inlineStr">
        <is>
          <t>Date</t>
        </is>
      </c>
      <c r="S2" s="11" t="inlineStr">
        <is>
          <t>Amount</t>
        </is>
      </c>
      <c r="T2" s="11" t="inlineStr">
        <is>
          <t>Period</t>
        </is>
      </c>
      <c r="U2" s="11" t="inlineStr">
        <is>
          <t>Distribution Number</t>
        </is>
      </c>
      <c r="V2" s="11" t="inlineStr">
        <is>
          <t>Date</t>
        </is>
      </c>
      <c r="W2" s="11" t="inlineStr">
        <is>
          <t>Amount</t>
        </is>
      </c>
      <c r="X2" s="11" t="inlineStr">
        <is>
          <t>Period</t>
        </is>
      </c>
      <c r="Y2" s="11" t="inlineStr">
        <is>
          <t>Distribution Number</t>
        </is>
      </c>
      <c r="Z2" s="11" t="inlineStr">
        <is>
          <t>Date</t>
        </is>
      </c>
      <c r="AA2" s="11" t="inlineStr">
        <is>
          <t>Amount</t>
        </is>
      </c>
      <c r="AB2" s="11" t="inlineStr">
        <is>
          <t>Period</t>
        </is>
      </c>
      <c r="AC2" s="11" t="inlineStr">
        <is>
          <t>Distribution Number</t>
        </is>
      </c>
      <c r="AD2" s="11" t="inlineStr">
        <is>
          <t>Date</t>
        </is>
      </c>
      <c r="AE2" s="11" t="inlineStr">
        <is>
          <t>Amount</t>
        </is>
      </c>
      <c r="AF2" s="11" t="inlineStr">
        <is>
          <t>Period</t>
        </is>
      </c>
      <c r="AG2" s="11" t="inlineStr">
        <is>
          <t>Distribution Number</t>
        </is>
      </c>
      <c r="AH2" s="12" t="inlineStr">
        <is>
          <t>FY 2025-26 - IPRS Royalty</t>
        </is>
      </c>
      <c r="AI2" s="12" t="inlineStr">
        <is>
          <t>FY 2025-26 - Spotify Revenue</t>
        </is>
      </c>
      <c r="AJ2" s="12" t="inlineStr">
        <is>
          <t>Total (Both Sources)</t>
        </is>
      </c>
      <c r="AK2" s="13" t="inlineStr">
        <is>
          <t>Status Given In Source 1</t>
        </is>
      </c>
      <c r="AL2" s="13" t="inlineStr">
        <is>
          <t>Present In The IPRS Statement (Source 2)</t>
        </is>
      </c>
      <c r="AM2" s="13" t="inlineStr">
        <is>
          <t>Spotify (MRM) Match Basis</t>
        </is>
      </c>
      <c r="AN2" s="13" t="inlineStr">
        <is>
          <t>In SVF Catalogue (S-46)?</t>
        </is>
      </c>
    </row>
    <row r="3">
      <c r="A3" s="14" t="inlineStr">
        <is>
          <t>INS2X2514001</t>
        </is>
      </c>
      <c r="B3" s="14" t="inlineStr">
        <is>
          <t>Watan Mere</t>
        </is>
      </c>
      <c r="C3" s="14" t="inlineStr">
        <is>
          <t>31647093</t>
        </is>
      </c>
      <c r="D3" s="15" t="n">
        <v>0</v>
      </c>
      <c r="E3" s="15" t="n">
        <v>157.23</v>
      </c>
      <c r="F3" s="16" t="n"/>
      <c r="G3" s="17" t="n">
        <v>0</v>
      </c>
      <c r="H3" s="18" t="inlineStr"/>
      <c r="I3" s="18" t="inlineStr"/>
      <c r="J3" s="19" t="n">
        <v>45961</v>
      </c>
      <c r="K3" s="20" t="n">
        <v>50.24</v>
      </c>
      <c r="L3" s="21" t="inlineStr">
        <is>
          <t>Oct 2025</t>
        </is>
      </c>
      <c r="M3" s="21" t="inlineStr">
        <is>
          <t>MRM Oct 2025 - Mar 2026</t>
        </is>
      </c>
      <c r="N3" s="22" t="n">
        <v>45991</v>
      </c>
      <c r="O3" s="20" t="n">
        <v>62.79</v>
      </c>
      <c r="P3" s="21" t="inlineStr">
        <is>
          <t>Nov 2025</t>
        </is>
      </c>
      <c r="Q3" s="21" t="inlineStr">
        <is>
          <t>MRM Oct 2025 - Mar 2026</t>
        </is>
      </c>
      <c r="R3" s="22" t="n">
        <v>46022</v>
      </c>
      <c r="S3" s="20" t="n">
        <v>35.94</v>
      </c>
      <c r="T3" s="21" t="inlineStr">
        <is>
          <t>Dec 2025</t>
        </is>
      </c>
      <c r="U3" s="21" t="inlineStr">
        <is>
          <t>MRM Oct 2025 - Mar 2026</t>
        </is>
      </c>
      <c r="V3" s="22" t="n">
        <v>46053</v>
      </c>
      <c r="W3" s="20" t="n">
        <v>2.53</v>
      </c>
      <c r="X3" s="21" t="inlineStr">
        <is>
          <t>Jan 2026</t>
        </is>
      </c>
      <c r="Y3" s="21" t="inlineStr">
        <is>
          <t>MRM Oct 2025 - Mar 2026</t>
        </is>
      </c>
      <c r="Z3" s="22" t="n">
        <v>46081</v>
      </c>
      <c r="AA3" s="20" t="n">
        <v>4.77</v>
      </c>
      <c r="AB3" s="21" t="inlineStr">
        <is>
          <t>Feb 2026</t>
        </is>
      </c>
      <c r="AC3" s="21" t="inlineStr">
        <is>
          <t>MRM Oct 2025 - Mar 2026</t>
        </is>
      </c>
      <c r="AD3" s="22" t="n">
        <v>46112</v>
      </c>
      <c r="AE3" s="20" t="n">
        <v>0.96</v>
      </c>
      <c r="AF3" s="21" t="inlineStr">
        <is>
          <t>Mar 2026</t>
        </is>
      </c>
      <c r="AG3" s="21" t="inlineStr">
        <is>
          <t>MRM Oct 2025 - Mar 2026</t>
        </is>
      </c>
      <c r="AH3" s="23" t="n">
        <v>0</v>
      </c>
      <c r="AI3" s="17" t="n">
        <v>157.23</v>
      </c>
      <c r="AJ3" s="17" t="n">
        <v>157.23</v>
      </c>
      <c r="AK3" s="24" t="inlineStr">
        <is>
          <t>Not SVF work</t>
        </is>
      </c>
      <c r="AL3" s="25" t="inlineStr">
        <is>
          <t>No - work number, song title and title-without-film-name all absent</t>
        </is>
      </c>
      <c r="AM3" s="25" t="inlineStr">
        <is>
          <t>ISRC - exact match in the MRM report (6 monthly lines)</t>
        </is>
      </c>
      <c r="AN3" s="25" t="inlineStr">
        <is>
          <t>No</t>
        </is>
      </c>
    </row>
    <row r="4">
      <c r="A4" t="inlineStr">
        <is>
          <t>INE402202901</t>
        </is>
      </c>
      <c r="B4" t="inlineStr">
        <is>
          <t>Ami Kolkatar Sera Rupashi_(From"Cooli")</t>
        </is>
      </c>
      <c r="C4" t="inlineStr">
        <is>
          <t>28614881</t>
        </is>
      </c>
      <c r="D4" s="26" t="n">
        <v>0</v>
      </c>
      <c r="E4" s="26" t="n">
        <v>2.23</v>
      </c>
      <c r="F4" s="16" t="n"/>
      <c r="G4" s="17" t="n">
        <v>0</v>
      </c>
      <c r="H4" s="18" t="inlineStr"/>
      <c r="I4" s="18" t="inlineStr"/>
      <c r="J4" s="19" t="n">
        <v>45961</v>
      </c>
      <c r="K4" s="20" t="n">
        <v>1.15</v>
      </c>
      <c r="L4" s="21" t="inlineStr">
        <is>
          <t>Oct 2025</t>
        </is>
      </c>
      <c r="M4" s="21" t="inlineStr">
        <is>
          <t>MRM Oct 2025 - Mar 2026</t>
        </is>
      </c>
      <c r="N4" s="22" t="n">
        <v>45991</v>
      </c>
      <c r="O4" s="20" t="n">
        <v>0.6</v>
      </c>
      <c r="P4" s="21" t="inlineStr">
        <is>
          <t>Nov 2025</t>
        </is>
      </c>
      <c r="Q4" s="21" t="inlineStr">
        <is>
          <t>MRM Oct 2025 - Mar 2026</t>
        </is>
      </c>
      <c r="R4" s="22" t="n">
        <v>46022</v>
      </c>
      <c r="S4" s="20" t="n">
        <v>0.12</v>
      </c>
      <c r="T4" s="21" t="inlineStr">
        <is>
          <t>Dec 2025</t>
        </is>
      </c>
      <c r="U4" s="21" t="inlineStr">
        <is>
          <t>MRM Oct 2025 - Mar 2026</t>
        </is>
      </c>
      <c r="V4" s="22" t="n">
        <v>46053</v>
      </c>
      <c r="W4" s="20" t="n">
        <v>0.18</v>
      </c>
      <c r="X4" s="21" t="inlineStr">
        <is>
          <t>Jan 2026</t>
        </is>
      </c>
      <c r="Y4" s="21" t="inlineStr">
        <is>
          <t>MRM Oct 2025 - Mar 2026</t>
        </is>
      </c>
      <c r="Z4" s="22" t="n">
        <v>46081</v>
      </c>
      <c r="AA4" s="20" t="n">
        <v>0.18</v>
      </c>
      <c r="AB4" s="21" t="inlineStr">
        <is>
          <t>Feb 2026</t>
        </is>
      </c>
      <c r="AC4" s="21" t="inlineStr">
        <is>
          <t>MRM Oct 2025 - Mar 2026</t>
        </is>
      </c>
      <c r="AD4" s="22" t="n"/>
      <c r="AE4" s="20" t="n"/>
      <c r="AF4" s="21" t="inlineStr"/>
      <c r="AG4" s="21" t="inlineStr"/>
      <c r="AH4" s="23" t="n">
        <v>0</v>
      </c>
      <c r="AI4" s="17" t="n">
        <v>2.23</v>
      </c>
      <c r="AJ4" s="17" t="n">
        <v>2.23</v>
      </c>
      <c r="AK4" s="24" t="inlineStr">
        <is>
          <t>Not SVF work</t>
        </is>
      </c>
      <c r="AL4" s="25" t="inlineStr">
        <is>
          <t>No - work number, song title and title-without-film-name all absent</t>
        </is>
      </c>
      <c r="AM4" s="25" t="inlineStr">
        <is>
          <t>ISRC - exact match in the MRM report (5 monthly lines)</t>
        </is>
      </c>
      <c r="AN4" s="25" t="inlineStr">
        <is>
          <t>No</t>
        </is>
      </c>
    </row>
    <row r="5">
      <c r="A5" s="14" t="inlineStr">
        <is>
          <t>INS2X2512004</t>
        </is>
      </c>
      <c r="B5" s="14" t="inlineStr">
        <is>
          <t>Bhalobasha Gaan</t>
        </is>
      </c>
      <c r="C5" s="14" t="inlineStr">
        <is>
          <t>31647074</t>
        </is>
      </c>
      <c r="D5" s="15" t="n">
        <v>0</v>
      </c>
      <c r="E5" s="15" t="n">
        <v>2.19</v>
      </c>
      <c r="F5" s="16" t="n"/>
      <c r="G5" s="17" t="n">
        <v>0</v>
      </c>
      <c r="H5" s="18" t="inlineStr"/>
      <c r="I5" s="18" t="inlineStr"/>
      <c r="J5" s="19" t="n"/>
      <c r="K5" s="20" t="n"/>
      <c r="L5" s="21" t="inlineStr"/>
      <c r="M5" s="21" t="inlineStr"/>
      <c r="N5" s="22" t="n"/>
      <c r="O5" s="20" t="n"/>
      <c r="P5" s="21" t="inlineStr"/>
      <c r="Q5" s="21" t="inlineStr"/>
      <c r="R5" s="22" t="n"/>
      <c r="S5" s="20" t="n"/>
      <c r="T5" s="21" t="inlineStr"/>
      <c r="U5" s="21" t="inlineStr"/>
      <c r="V5" s="22" t="n"/>
      <c r="W5" s="20" t="n"/>
      <c r="X5" s="21" t="inlineStr"/>
      <c r="Y5" s="21" t="inlineStr"/>
      <c r="Z5" s="22" t="n"/>
      <c r="AA5" s="20" t="n"/>
      <c r="AB5" s="21" t="inlineStr"/>
      <c r="AC5" s="21" t="inlineStr"/>
      <c r="AD5" s="22" t="n">
        <v>46112</v>
      </c>
      <c r="AE5" s="20" t="n">
        <v>2.19</v>
      </c>
      <c r="AF5" s="21" t="inlineStr">
        <is>
          <t>Mar 2026</t>
        </is>
      </c>
      <c r="AG5" s="21" t="inlineStr">
        <is>
          <t>MRM Oct 2025 - Mar 2026</t>
        </is>
      </c>
      <c r="AH5" s="23" t="n">
        <v>0</v>
      </c>
      <c r="AI5" s="17" t="n">
        <v>2.19</v>
      </c>
      <c r="AJ5" s="17" t="n">
        <v>2.19</v>
      </c>
      <c r="AK5" s="24" t="inlineStr">
        <is>
          <t>Not SVF work</t>
        </is>
      </c>
      <c r="AL5" s="25" t="inlineStr">
        <is>
          <t>No - work number, song title and title-without-film-name all absent</t>
        </is>
      </c>
      <c r="AM5" s="25" t="inlineStr">
        <is>
          <t>ISRC - exact match in the MRM report (2 monthly lines)</t>
        </is>
      </c>
      <c r="AN5" s="25" t="inlineStr">
        <is>
          <t>No</t>
        </is>
      </c>
    </row>
    <row r="6">
      <c r="A6" t="inlineStr">
        <is>
          <t>INE402203090</t>
        </is>
      </c>
      <c r="B6" t="inlineStr">
        <is>
          <t>Majhe Majhe_(From"Window Connection")</t>
        </is>
      </c>
      <c r="C6" t="inlineStr">
        <is>
          <t>29137544</t>
        </is>
      </c>
      <c r="D6" s="26" t="n">
        <v>0</v>
      </c>
      <c r="E6" s="26" t="n">
        <v>1.76</v>
      </c>
      <c r="F6" s="16" t="n"/>
      <c r="G6" s="17" t="n">
        <v>0</v>
      </c>
      <c r="H6" s="18" t="inlineStr"/>
      <c r="I6" s="18" t="inlineStr"/>
      <c r="J6" s="19" t="n">
        <v>45961</v>
      </c>
      <c r="K6" s="20" t="n">
        <v>1.76</v>
      </c>
      <c r="L6" s="21" t="inlineStr">
        <is>
          <t>Oct 2025</t>
        </is>
      </c>
      <c r="M6" s="21" t="inlineStr">
        <is>
          <t>MRM Oct 2025 - Mar 2026</t>
        </is>
      </c>
      <c r="N6" s="22" t="n"/>
      <c r="O6" s="20" t="n"/>
      <c r="P6" s="21" t="inlineStr"/>
      <c r="Q6" s="21" t="inlineStr"/>
      <c r="R6" s="22" t="n"/>
      <c r="S6" s="20" t="n"/>
      <c r="T6" s="21" t="inlineStr"/>
      <c r="U6" s="21" t="inlineStr"/>
      <c r="V6" s="22" t="n"/>
      <c r="W6" s="20" t="n"/>
      <c r="X6" s="21" t="inlineStr"/>
      <c r="Y6" s="21" t="inlineStr"/>
      <c r="Z6" s="22" t="n"/>
      <c r="AA6" s="20" t="n"/>
      <c r="AB6" s="21" t="inlineStr"/>
      <c r="AC6" s="21" t="inlineStr"/>
      <c r="AD6" s="22" t="n"/>
      <c r="AE6" s="20" t="n"/>
      <c r="AF6" s="21" t="inlineStr"/>
      <c r="AG6" s="21" t="inlineStr"/>
      <c r="AH6" s="23" t="n">
        <v>0</v>
      </c>
      <c r="AI6" s="17" t="n">
        <v>1.76</v>
      </c>
      <c r="AJ6" s="17" t="n">
        <v>1.76</v>
      </c>
      <c r="AK6" s="24" t="inlineStr">
        <is>
          <t>Not SVF work</t>
        </is>
      </c>
      <c r="AL6" s="25" t="inlineStr">
        <is>
          <t>No - work number, song title and title-without-film-name all absent</t>
        </is>
      </c>
      <c r="AM6" s="25" t="inlineStr">
        <is>
          <t>ISRC - exact match in the MRM report (1 monthly line)</t>
        </is>
      </c>
      <c r="AN6" s="25" t="inlineStr">
        <is>
          <t>No</t>
        </is>
      </c>
    </row>
    <row r="7">
      <c r="A7" s="14" t="inlineStr">
        <is>
          <t>INE401000722</t>
        </is>
      </c>
      <c r="B7" s="14" t="inlineStr">
        <is>
          <t>Mon Mor Megher Sanghi</t>
        </is>
      </c>
      <c r="C7" s="14" t="inlineStr">
        <is>
          <t>23544150</t>
        </is>
      </c>
      <c r="D7" s="15" t="n">
        <v>0</v>
      </c>
      <c r="E7" s="15" t="n">
        <v>1.3</v>
      </c>
      <c r="F7" s="16" t="n"/>
      <c r="G7" s="17" t="n">
        <v>0</v>
      </c>
      <c r="H7" s="18" t="inlineStr"/>
      <c r="I7" s="18" t="inlineStr"/>
      <c r="J7" s="19" t="n">
        <v>45961</v>
      </c>
      <c r="K7" s="20" t="n">
        <v>0.7</v>
      </c>
      <c r="L7" s="21" t="inlineStr">
        <is>
          <t>Oct 2025</t>
        </is>
      </c>
      <c r="M7" s="21" t="inlineStr">
        <is>
          <t>MRM Oct 2025 - Mar 2026</t>
        </is>
      </c>
      <c r="N7" s="22" t="n">
        <v>45991</v>
      </c>
      <c r="O7" s="20" t="n">
        <v>0.33</v>
      </c>
      <c r="P7" s="21" t="inlineStr">
        <is>
          <t>Nov 2025</t>
        </is>
      </c>
      <c r="Q7" s="21" t="inlineStr">
        <is>
          <t>MRM Oct 2025 - Mar 2026</t>
        </is>
      </c>
      <c r="R7" s="22" t="n">
        <v>46022</v>
      </c>
      <c r="S7" s="20" t="n">
        <v>0.04</v>
      </c>
      <c r="T7" s="21" t="inlineStr">
        <is>
          <t>Dec 2025</t>
        </is>
      </c>
      <c r="U7" s="21" t="inlineStr">
        <is>
          <t>MRM Oct 2025 - Mar 2026</t>
        </is>
      </c>
      <c r="V7" s="22" t="n">
        <v>46053</v>
      </c>
      <c r="W7" s="20" t="n">
        <v>0.14</v>
      </c>
      <c r="X7" s="21" t="inlineStr">
        <is>
          <t>Jan 2026</t>
        </is>
      </c>
      <c r="Y7" s="21" t="inlineStr">
        <is>
          <t>MRM Oct 2025 - Mar 2026</t>
        </is>
      </c>
      <c r="Z7" s="22" t="n"/>
      <c r="AA7" s="20" t="n"/>
      <c r="AB7" s="21" t="inlineStr"/>
      <c r="AC7" s="21" t="inlineStr"/>
      <c r="AD7" s="22" t="n">
        <v>46112</v>
      </c>
      <c r="AE7" s="20" t="n">
        <v>0.09</v>
      </c>
      <c r="AF7" s="21" t="inlineStr">
        <is>
          <t>Mar 2026</t>
        </is>
      </c>
      <c r="AG7" s="21" t="inlineStr">
        <is>
          <t>MRM Oct 2025 - Mar 2026</t>
        </is>
      </c>
      <c r="AH7" s="23" t="n">
        <v>0</v>
      </c>
      <c r="AI7" s="17" t="n">
        <v>1.3</v>
      </c>
      <c r="AJ7" s="17" t="n">
        <v>1.3</v>
      </c>
      <c r="AK7" s="24" t="inlineStr">
        <is>
          <t>Not SVF work</t>
        </is>
      </c>
      <c r="AL7" s="25" t="inlineStr">
        <is>
          <t>No - work number, song title and title-without-film-name all absent</t>
        </is>
      </c>
      <c r="AM7" s="25" t="inlineStr">
        <is>
          <t>ISRC - exact match in the MRM report (5 monthly lines)</t>
        </is>
      </c>
      <c r="AN7" s="25" t="inlineStr">
        <is>
          <t>No</t>
        </is>
      </c>
    </row>
    <row r="8">
      <c r="A8" t="inlineStr">
        <is>
          <t>INE401303650</t>
        </is>
      </c>
      <c r="B8" t="inlineStr">
        <is>
          <t>Life Ea Rong Dae</t>
        </is>
      </c>
      <c r="C8" t="inlineStr">
        <is>
          <t>28552474</t>
        </is>
      </c>
      <c r="D8" s="26" t="n">
        <v>0</v>
      </c>
      <c r="E8" s="26" t="n">
        <v>0.98</v>
      </c>
      <c r="F8" s="16" t="n"/>
      <c r="G8" s="17" t="n">
        <v>0</v>
      </c>
      <c r="H8" s="18" t="inlineStr"/>
      <c r="I8" s="18" t="inlineStr"/>
      <c r="J8" s="19" t="n">
        <v>45961</v>
      </c>
      <c r="K8" s="20" t="n">
        <v>0.98</v>
      </c>
      <c r="L8" s="21" t="inlineStr">
        <is>
          <t>Oct 2025</t>
        </is>
      </c>
      <c r="M8" s="21" t="inlineStr">
        <is>
          <t>MRM Oct 2025 - Mar 2026</t>
        </is>
      </c>
      <c r="N8" s="22" t="n"/>
      <c r="O8" s="20" t="n"/>
      <c r="P8" s="21" t="inlineStr"/>
      <c r="Q8" s="21" t="inlineStr"/>
      <c r="R8" s="22" t="n"/>
      <c r="S8" s="20" t="n"/>
      <c r="T8" s="21" t="inlineStr"/>
      <c r="U8" s="21" t="inlineStr"/>
      <c r="V8" s="22" t="n"/>
      <c r="W8" s="20" t="n"/>
      <c r="X8" s="21" t="inlineStr"/>
      <c r="Y8" s="21" t="inlineStr"/>
      <c r="Z8" s="22" t="n"/>
      <c r="AA8" s="20" t="n"/>
      <c r="AB8" s="21" t="inlineStr"/>
      <c r="AC8" s="21" t="inlineStr"/>
      <c r="AD8" s="22" t="n"/>
      <c r="AE8" s="20" t="n"/>
      <c r="AF8" s="21" t="inlineStr"/>
      <c r="AG8" s="21" t="inlineStr"/>
      <c r="AH8" s="23" t="n">
        <v>0</v>
      </c>
      <c r="AI8" s="17" t="n">
        <v>0.98</v>
      </c>
      <c r="AJ8" s="17" t="n">
        <v>0.98</v>
      </c>
      <c r="AK8" s="24" t="inlineStr">
        <is>
          <t>Not SVF work</t>
        </is>
      </c>
      <c r="AL8" s="25" t="inlineStr">
        <is>
          <t>No - work number, song title and title-without-film-name all absent</t>
        </is>
      </c>
      <c r="AM8" s="25" t="inlineStr">
        <is>
          <t>ISRC - exact match in the MRM report (1 monthly line)</t>
        </is>
      </c>
      <c r="AN8" s="25" t="inlineStr">
        <is>
          <t>No</t>
        </is>
      </c>
    </row>
    <row r="9">
      <c r="A9" s="14" t="inlineStr">
        <is>
          <t>INE402203092</t>
        </is>
      </c>
      <c r="B9" s="14" t="inlineStr">
        <is>
          <t>Aaj Jemon Kore_(From"Phoring")</t>
        </is>
      </c>
      <c r="C9" s="14" t="inlineStr">
        <is>
          <t>28552079</t>
        </is>
      </c>
      <c r="D9" s="15" t="n">
        <v>0</v>
      </c>
      <c r="E9" s="15" t="n">
        <v>0.92</v>
      </c>
      <c r="F9" s="16" t="n"/>
      <c r="G9" s="17" t="n">
        <v>0</v>
      </c>
      <c r="H9" s="18" t="inlineStr"/>
      <c r="I9" s="18" t="inlineStr"/>
      <c r="J9" s="19" t="n">
        <v>45961</v>
      </c>
      <c r="K9" s="20" t="n">
        <v>0.92</v>
      </c>
      <c r="L9" s="21" t="inlineStr">
        <is>
          <t>Oct 2025</t>
        </is>
      </c>
      <c r="M9" s="21" t="inlineStr">
        <is>
          <t>MRM Oct 2025 - Mar 2026</t>
        </is>
      </c>
      <c r="N9" s="22" t="n"/>
      <c r="O9" s="20" t="n"/>
      <c r="P9" s="21" t="inlineStr"/>
      <c r="Q9" s="21" t="inlineStr"/>
      <c r="R9" s="22" t="n"/>
      <c r="S9" s="20" t="n"/>
      <c r="T9" s="21" t="inlineStr"/>
      <c r="U9" s="21" t="inlineStr"/>
      <c r="V9" s="22" t="n"/>
      <c r="W9" s="20" t="n"/>
      <c r="X9" s="21" t="inlineStr"/>
      <c r="Y9" s="21" t="inlineStr"/>
      <c r="Z9" s="22" t="n"/>
      <c r="AA9" s="20" t="n"/>
      <c r="AB9" s="21" t="inlineStr"/>
      <c r="AC9" s="21" t="inlineStr"/>
      <c r="AD9" s="22" t="n"/>
      <c r="AE9" s="20" t="n"/>
      <c r="AF9" s="21" t="inlineStr"/>
      <c r="AG9" s="21" t="inlineStr"/>
      <c r="AH9" s="23" t="n">
        <v>0</v>
      </c>
      <c r="AI9" s="17" t="n">
        <v>0.92</v>
      </c>
      <c r="AJ9" s="17" t="n">
        <v>0.92</v>
      </c>
      <c r="AK9" s="24" t="inlineStr">
        <is>
          <t>Not SVF work</t>
        </is>
      </c>
      <c r="AL9" s="25" t="inlineStr">
        <is>
          <t>No - work number, song title and title-without-film-name all absent</t>
        </is>
      </c>
      <c r="AM9" s="25" t="inlineStr">
        <is>
          <t>ISRC - exact match in the MRM report (1 monthly line)</t>
        </is>
      </c>
      <c r="AN9" s="25" t="inlineStr">
        <is>
          <t>No</t>
        </is>
      </c>
    </row>
    <row r="10">
      <c r="A10" t="inlineStr">
        <is>
          <t>INE402202902</t>
        </is>
      </c>
      <c r="B10" t="inlineStr">
        <is>
          <t>Hazar Tarar Alor Majhe_(From"Ram Lakhan")</t>
        </is>
      </c>
      <c r="C10" t="inlineStr">
        <is>
          <t>29137555</t>
        </is>
      </c>
      <c r="D10" s="26" t="n">
        <v>0</v>
      </c>
      <c r="E10" s="26" t="n">
        <v>0.61</v>
      </c>
      <c r="F10" s="16" t="n"/>
      <c r="G10" s="17" t="n">
        <v>0</v>
      </c>
      <c r="H10" s="18" t="inlineStr"/>
      <c r="I10" s="18" t="inlineStr"/>
      <c r="J10" s="19" t="n"/>
      <c r="K10" s="20" t="n"/>
      <c r="L10" s="21" t="inlineStr"/>
      <c r="M10" s="21" t="inlineStr"/>
      <c r="N10" s="22" t="n">
        <v>45991</v>
      </c>
      <c r="O10" s="20" t="n">
        <v>0.49</v>
      </c>
      <c r="P10" s="21" t="inlineStr">
        <is>
          <t>Nov 2025</t>
        </is>
      </c>
      <c r="Q10" s="21" t="inlineStr">
        <is>
          <t>MRM Oct 2025 - Mar 2026</t>
        </is>
      </c>
      <c r="R10" s="22" t="n">
        <v>46022</v>
      </c>
      <c r="S10" s="20" t="n">
        <v>0.07000000000000001</v>
      </c>
      <c r="T10" s="21" t="inlineStr">
        <is>
          <t>Dec 2025</t>
        </is>
      </c>
      <c r="U10" s="21" t="inlineStr">
        <is>
          <t>MRM Oct 2025 - Mar 2026</t>
        </is>
      </c>
      <c r="V10" s="22" t="n"/>
      <c r="W10" s="20" t="n"/>
      <c r="X10" s="21" t="inlineStr"/>
      <c r="Y10" s="21" t="inlineStr"/>
      <c r="Z10" s="22" t="n"/>
      <c r="AA10" s="20" t="n"/>
      <c r="AB10" s="21" t="inlineStr"/>
      <c r="AC10" s="21" t="inlineStr"/>
      <c r="AD10" s="22" t="n">
        <v>46112</v>
      </c>
      <c r="AE10" s="20" t="n">
        <v>0.05</v>
      </c>
      <c r="AF10" s="21" t="inlineStr">
        <is>
          <t>Mar 2026</t>
        </is>
      </c>
      <c r="AG10" s="21" t="inlineStr">
        <is>
          <t>MRM Oct 2025 - Mar 2026</t>
        </is>
      </c>
      <c r="AH10" s="23" t="n">
        <v>0</v>
      </c>
      <c r="AI10" s="17" t="n">
        <v>0.61</v>
      </c>
      <c r="AJ10" s="17" t="n">
        <v>0.61</v>
      </c>
      <c r="AK10" s="24" t="inlineStr">
        <is>
          <t>Not SVF work</t>
        </is>
      </c>
      <c r="AL10" s="25" t="inlineStr">
        <is>
          <t>No - work number, song title and title-without-film-name all absent</t>
        </is>
      </c>
      <c r="AM10" s="25" t="inlineStr">
        <is>
          <t>ISRC - exact match in the MRM report (3 monthly lines)</t>
        </is>
      </c>
      <c r="AN10" s="25" t="inlineStr">
        <is>
          <t>No</t>
        </is>
      </c>
    </row>
    <row r="11">
      <c r="A11" s="14" t="inlineStr">
        <is>
          <t>INE409701873</t>
        </is>
      </c>
      <c r="B11" s="14" t="inlineStr">
        <is>
          <t>Chilo Ja Moner Asha</t>
        </is>
      </c>
      <c r="C11" s="14" t="inlineStr">
        <is>
          <t>24780054</t>
        </is>
      </c>
      <c r="D11" s="15" t="n">
        <v>0</v>
      </c>
      <c r="E11" s="15" t="n">
        <v>0.5600000000000001</v>
      </c>
      <c r="F11" s="16" t="n"/>
      <c r="G11" s="17" t="n">
        <v>0</v>
      </c>
      <c r="H11" s="18" t="inlineStr"/>
      <c r="I11" s="18" t="inlineStr"/>
      <c r="J11" s="19" t="n">
        <v>45961</v>
      </c>
      <c r="K11" s="20" t="n">
        <v>0.23</v>
      </c>
      <c r="L11" s="21" t="inlineStr">
        <is>
          <t>Oct 2025</t>
        </is>
      </c>
      <c r="M11" s="21" t="inlineStr">
        <is>
          <t>MRM Oct 2025 - Mar 2026</t>
        </is>
      </c>
      <c r="N11" s="22" t="n">
        <v>45991</v>
      </c>
      <c r="O11" s="20" t="n">
        <v>0.1</v>
      </c>
      <c r="P11" s="21" t="inlineStr">
        <is>
          <t>Nov 2025</t>
        </is>
      </c>
      <c r="Q11" s="21" t="inlineStr">
        <is>
          <t>MRM Oct 2025 - Mar 2026</t>
        </is>
      </c>
      <c r="R11" s="22" t="n">
        <v>46022</v>
      </c>
      <c r="S11" s="20" t="n">
        <v>0.14</v>
      </c>
      <c r="T11" s="21" t="inlineStr">
        <is>
          <t>Dec 2025</t>
        </is>
      </c>
      <c r="U11" s="21" t="inlineStr">
        <is>
          <t>MRM Oct 2025 - Mar 2026</t>
        </is>
      </c>
      <c r="V11" s="22" t="n">
        <v>46053</v>
      </c>
      <c r="W11" s="20" t="n">
        <v>0.09</v>
      </c>
      <c r="X11" s="21" t="inlineStr">
        <is>
          <t>Jan 2026</t>
        </is>
      </c>
      <c r="Y11" s="21" t="inlineStr">
        <is>
          <t>MRM Oct 2025 - Mar 2026</t>
        </is>
      </c>
      <c r="Z11" s="22" t="n"/>
      <c r="AA11" s="20" t="n"/>
      <c r="AB11" s="21" t="inlineStr"/>
      <c r="AC11" s="21" t="inlineStr"/>
      <c r="AD11" s="22" t="n"/>
      <c r="AE11" s="20" t="n"/>
      <c r="AF11" s="21" t="inlineStr"/>
      <c r="AG11" s="21" t="inlineStr"/>
      <c r="AH11" s="23" t="n">
        <v>0</v>
      </c>
      <c r="AI11" s="17" t="n">
        <v>0.5600000000000001</v>
      </c>
      <c r="AJ11" s="17" t="n">
        <v>0.5600000000000001</v>
      </c>
      <c r="AK11" s="24" t="inlineStr">
        <is>
          <t>Not SVF work</t>
        </is>
      </c>
      <c r="AL11" s="25" t="inlineStr">
        <is>
          <t>No - work number, song title and title-without-film-name all absent</t>
        </is>
      </c>
      <c r="AM11" s="25" t="inlineStr">
        <is>
          <t>ISRC - exact match in the MRM report (4 monthly lines)</t>
        </is>
      </c>
      <c r="AN11" s="25" t="inlineStr">
        <is>
          <t>No</t>
        </is>
      </c>
    </row>
    <row r="12">
      <c r="A12" t="inlineStr">
        <is>
          <t>INE402202899</t>
        </is>
      </c>
      <c r="B12" t="inlineStr">
        <is>
          <t>Ei Valobasha_(From"Sathihara")</t>
        </is>
      </c>
      <c r="C12" t="inlineStr">
        <is>
          <t>23543730</t>
        </is>
      </c>
      <c r="D12" s="26" t="n">
        <v>0</v>
      </c>
      <c r="E12" s="26" t="n">
        <v>0.53</v>
      </c>
      <c r="F12" s="16" t="n"/>
      <c r="G12" s="17" t="n">
        <v>0</v>
      </c>
      <c r="H12" s="18" t="inlineStr"/>
      <c r="I12" s="18" t="inlineStr"/>
      <c r="J12" s="19" t="n">
        <v>45961</v>
      </c>
      <c r="K12" s="20" t="n">
        <v>0.15</v>
      </c>
      <c r="L12" s="21" t="inlineStr">
        <is>
          <t>Oct 2025</t>
        </is>
      </c>
      <c r="M12" s="21" t="inlineStr">
        <is>
          <t>MRM Oct 2025 - Mar 2026</t>
        </is>
      </c>
      <c r="N12" s="22" t="n">
        <v>45991</v>
      </c>
      <c r="O12" s="20" t="n">
        <v>0.13</v>
      </c>
      <c r="P12" s="21" t="inlineStr">
        <is>
          <t>Nov 2025</t>
        </is>
      </c>
      <c r="Q12" s="21" t="inlineStr">
        <is>
          <t>MRM Oct 2025 - Mar 2026</t>
        </is>
      </c>
      <c r="R12" s="22" t="n">
        <v>46022</v>
      </c>
      <c r="S12" s="20" t="n">
        <v>0.1</v>
      </c>
      <c r="T12" s="21" t="inlineStr">
        <is>
          <t>Dec 2025</t>
        </is>
      </c>
      <c r="U12" s="21" t="inlineStr">
        <is>
          <t>MRM Oct 2025 - Mar 2026</t>
        </is>
      </c>
      <c r="V12" s="22" t="n">
        <v>46053</v>
      </c>
      <c r="W12" s="20" t="n">
        <v>0.05</v>
      </c>
      <c r="X12" s="21" t="inlineStr">
        <is>
          <t>Jan 2026</t>
        </is>
      </c>
      <c r="Y12" s="21" t="inlineStr">
        <is>
          <t>MRM Oct 2025 - Mar 2026</t>
        </is>
      </c>
      <c r="Z12" s="22" t="n">
        <v>46081</v>
      </c>
      <c r="AA12" s="20" t="n">
        <v>0.05</v>
      </c>
      <c r="AB12" s="21" t="inlineStr">
        <is>
          <t>Feb 2026</t>
        </is>
      </c>
      <c r="AC12" s="21" t="inlineStr">
        <is>
          <t>MRM Oct 2025 - Mar 2026</t>
        </is>
      </c>
      <c r="AD12" s="22" t="n">
        <v>46112</v>
      </c>
      <c r="AE12" s="20" t="n">
        <v>0.05</v>
      </c>
      <c r="AF12" s="21" t="inlineStr">
        <is>
          <t>Mar 2026</t>
        </is>
      </c>
      <c r="AG12" s="21" t="inlineStr">
        <is>
          <t>MRM Oct 2025 - Mar 2026</t>
        </is>
      </c>
      <c r="AH12" s="23" t="n">
        <v>0</v>
      </c>
      <c r="AI12" s="17" t="n">
        <v>0.53</v>
      </c>
      <c r="AJ12" s="17" t="n">
        <v>0.53</v>
      </c>
      <c r="AK12" s="24" t="inlineStr">
        <is>
          <t>Not SVF work</t>
        </is>
      </c>
      <c r="AL12" s="25" t="inlineStr">
        <is>
          <t>No - work number, song title and title-without-film-name all absent</t>
        </is>
      </c>
      <c r="AM12" s="25" t="inlineStr">
        <is>
          <t>ISRC - exact match in the MRM report (6 monthly lines)</t>
        </is>
      </c>
      <c r="AN12" s="25" t="inlineStr">
        <is>
          <t>No</t>
        </is>
      </c>
    </row>
    <row r="13">
      <c r="A13" s="14" t="inlineStr">
        <is>
          <t>INE402202914</t>
        </is>
      </c>
      <c r="B13" s="14" t="inlineStr">
        <is>
          <t>Aaro Koto Din Dhore_(From"Sundar Bou")</t>
        </is>
      </c>
      <c r="C13" s="14" t="inlineStr">
        <is>
          <t>28551888</t>
        </is>
      </c>
      <c r="D13" s="15" t="n">
        <v>0</v>
      </c>
      <c r="E13" s="15" t="n">
        <v>0.52</v>
      </c>
      <c r="F13" s="16" t="n"/>
      <c r="G13" s="17" t="n">
        <v>0</v>
      </c>
      <c r="H13" s="18" t="inlineStr"/>
      <c r="I13" s="18" t="inlineStr"/>
      <c r="J13" s="19" t="n"/>
      <c r="K13" s="20" t="n"/>
      <c r="L13" s="21" t="inlineStr"/>
      <c r="M13" s="21" t="inlineStr"/>
      <c r="N13" s="22" t="n">
        <v>45991</v>
      </c>
      <c r="O13" s="20" t="n">
        <v>0.08</v>
      </c>
      <c r="P13" s="21" t="inlineStr">
        <is>
          <t>Nov 2025</t>
        </is>
      </c>
      <c r="Q13" s="21" t="inlineStr">
        <is>
          <t>MRM Oct 2025 - Mar 2026</t>
        </is>
      </c>
      <c r="R13" s="22" t="n"/>
      <c r="S13" s="20" t="n"/>
      <c r="T13" s="21" t="inlineStr"/>
      <c r="U13" s="21" t="inlineStr"/>
      <c r="V13" s="22" t="n">
        <v>46053</v>
      </c>
      <c r="W13" s="20" t="n">
        <v>0.14</v>
      </c>
      <c r="X13" s="21" t="inlineStr">
        <is>
          <t>Jan 2026</t>
        </is>
      </c>
      <c r="Y13" s="21" t="inlineStr">
        <is>
          <t>MRM Oct 2025 - Mar 2026</t>
        </is>
      </c>
      <c r="Z13" s="22" t="n">
        <v>46081</v>
      </c>
      <c r="AA13" s="20" t="n">
        <v>0.2</v>
      </c>
      <c r="AB13" s="21" t="inlineStr">
        <is>
          <t>Feb 2026</t>
        </is>
      </c>
      <c r="AC13" s="21" t="inlineStr">
        <is>
          <t>MRM Oct 2025 - Mar 2026</t>
        </is>
      </c>
      <c r="AD13" s="22" t="n">
        <v>46112</v>
      </c>
      <c r="AE13" s="20" t="n">
        <v>0.1</v>
      </c>
      <c r="AF13" s="21" t="inlineStr">
        <is>
          <t>Mar 2026</t>
        </is>
      </c>
      <c r="AG13" s="21" t="inlineStr">
        <is>
          <t>MRM Oct 2025 - Mar 2026</t>
        </is>
      </c>
      <c r="AH13" s="23" t="n">
        <v>0</v>
      </c>
      <c r="AI13" s="17" t="n">
        <v>0.52</v>
      </c>
      <c r="AJ13" s="17" t="n">
        <v>0.52</v>
      </c>
      <c r="AK13" s="24" t="inlineStr">
        <is>
          <t>Not SVF work</t>
        </is>
      </c>
      <c r="AL13" s="25" t="inlineStr">
        <is>
          <t>No - work number, song title and title-without-film-name all absent</t>
        </is>
      </c>
      <c r="AM13" s="25" t="inlineStr">
        <is>
          <t>ISRC - exact match in the MRM report (4 monthly lines)</t>
        </is>
      </c>
      <c r="AN13" s="25" t="inlineStr">
        <is>
          <t>No</t>
        </is>
      </c>
    </row>
    <row r="14">
      <c r="A14" t="inlineStr">
        <is>
          <t>INE402202879</t>
        </is>
      </c>
      <c r="B14" t="inlineStr">
        <is>
          <t>Aranyaraat_(From"Chaya Manush")</t>
        </is>
      </c>
      <c r="C14" t="inlineStr">
        <is>
          <t>28614879</t>
        </is>
      </c>
      <c r="D14" s="26" t="n">
        <v>0</v>
      </c>
      <c r="E14" s="26" t="n">
        <v>0.34</v>
      </c>
      <c r="F14" s="16" t="n"/>
      <c r="G14" s="17" t="n">
        <v>0</v>
      </c>
      <c r="H14" s="18" t="inlineStr"/>
      <c r="I14" s="18" t="inlineStr"/>
      <c r="J14" s="19" t="n">
        <v>45961</v>
      </c>
      <c r="K14" s="20" t="n">
        <v>0.19</v>
      </c>
      <c r="L14" s="21" t="inlineStr">
        <is>
          <t>Oct 2025</t>
        </is>
      </c>
      <c r="M14" s="21" t="inlineStr">
        <is>
          <t>MRM Oct 2025 - Mar 2026</t>
        </is>
      </c>
      <c r="N14" s="22" t="n">
        <v>45991</v>
      </c>
      <c r="O14" s="20" t="n">
        <v>0.1</v>
      </c>
      <c r="P14" s="21" t="inlineStr">
        <is>
          <t>Nov 2025</t>
        </is>
      </c>
      <c r="Q14" s="21" t="inlineStr">
        <is>
          <t>MRM Oct 2025 - Mar 2026</t>
        </is>
      </c>
      <c r="R14" s="22" t="n"/>
      <c r="S14" s="20" t="n"/>
      <c r="T14" s="21" t="inlineStr"/>
      <c r="U14" s="21" t="inlineStr"/>
      <c r="V14" s="22" t="n">
        <v>46053</v>
      </c>
      <c r="W14" s="20" t="n">
        <v>0.05</v>
      </c>
      <c r="X14" s="21" t="inlineStr">
        <is>
          <t>Jan 2026</t>
        </is>
      </c>
      <c r="Y14" s="21" t="inlineStr">
        <is>
          <t>MRM Oct 2025 - Mar 2026</t>
        </is>
      </c>
      <c r="Z14" s="22" t="n"/>
      <c r="AA14" s="20" t="n"/>
      <c r="AB14" s="21" t="inlineStr"/>
      <c r="AC14" s="21" t="inlineStr"/>
      <c r="AD14" s="22" t="n"/>
      <c r="AE14" s="20" t="n"/>
      <c r="AF14" s="21" t="inlineStr"/>
      <c r="AG14" s="21" t="inlineStr"/>
      <c r="AH14" s="23" t="n">
        <v>0</v>
      </c>
      <c r="AI14" s="17" t="n">
        <v>0.34</v>
      </c>
      <c r="AJ14" s="17" t="n">
        <v>0.34</v>
      </c>
      <c r="AK14" s="24" t="inlineStr">
        <is>
          <t>Not SVF work</t>
        </is>
      </c>
      <c r="AL14" s="25" t="inlineStr">
        <is>
          <t>No - work number, song title and title-without-film-name all absent</t>
        </is>
      </c>
      <c r="AM14" s="25" t="inlineStr">
        <is>
          <t>ISRC - exact match in the MRM report (4 monthly lines)</t>
        </is>
      </c>
      <c r="AN14" s="25" t="inlineStr">
        <is>
          <t>No</t>
        </is>
      </c>
    </row>
    <row r="15">
      <c r="A15" s="14" t="inlineStr">
        <is>
          <t>INE409701876</t>
        </is>
      </c>
      <c r="B15" s="14" t="inlineStr">
        <is>
          <t>Moner Manush Fire Pelam</t>
        </is>
      </c>
      <c r="C15" s="14" t="inlineStr">
        <is>
          <t>24780057</t>
        </is>
      </c>
      <c r="D15" s="15" t="n">
        <v>0</v>
      </c>
      <c r="E15" s="15" t="n">
        <v>0.33</v>
      </c>
      <c r="F15" s="16" t="n"/>
      <c r="G15" s="17" t="n">
        <v>0</v>
      </c>
      <c r="H15" s="18" t="inlineStr"/>
      <c r="I15" s="18" t="inlineStr"/>
      <c r="J15" s="19" t="n">
        <v>45961</v>
      </c>
      <c r="K15" s="20" t="n">
        <v>0.18</v>
      </c>
      <c r="L15" s="21" t="inlineStr">
        <is>
          <t>Oct 2025</t>
        </is>
      </c>
      <c r="M15" s="21" t="inlineStr">
        <is>
          <t>MRM Oct 2025 - Mar 2026</t>
        </is>
      </c>
      <c r="N15" s="22" t="n">
        <v>45991</v>
      </c>
      <c r="O15" s="20" t="n">
        <v>0.1</v>
      </c>
      <c r="P15" s="21" t="inlineStr">
        <is>
          <t>Nov 2025</t>
        </is>
      </c>
      <c r="Q15" s="21" t="inlineStr">
        <is>
          <t>MRM Oct 2025 - Mar 2026</t>
        </is>
      </c>
      <c r="R15" s="22" t="n">
        <v>46022</v>
      </c>
      <c r="S15" s="20" t="n">
        <v>0.05</v>
      </c>
      <c r="T15" s="21" t="inlineStr">
        <is>
          <t>Dec 2025</t>
        </is>
      </c>
      <c r="U15" s="21" t="inlineStr">
        <is>
          <t>MRM Oct 2025 - Mar 2026</t>
        </is>
      </c>
      <c r="V15" s="22" t="n"/>
      <c r="W15" s="20" t="n"/>
      <c r="X15" s="21" t="inlineStr"/>
      <c r="Y15" s="21" t="inlineStr"/>
      <c r="Z15" s="22" t="n"/>
      <c r="AA15" s="20" t="n"/>
      <c r="AB15" s="21" t="inlineStr"/>
      <c r="AC15" s="21" t="inlineStr"/>
      <c r="AD15" s="22" t="n"/>
      <c r="AE15" s="20" t="n"/>
      <c r="AF15" s="21" t="inlineStr"/>
      <c r="AG15" s="21" t="inlineStr"/>
      <c r="AH15" s="23" t="n">
        <v>0</v>
      </c>
      <c r="AI15" s="17" t="n">
        <v>0.33</v>
      </c>
      <c r="AJ15" s="17" t="n">
        <v>0.33</v>
      </c>
      <c r="AK15" s="24" t="inlineStr">
        <is>
          <t>Not SVF work</t>
        </is>
      </c>
      <c r="AL15" s="25" t="inlineStr">
        <is>
          <t>No - work number, song title and title-without-film-name all absent</t>
        </is>
      </c>
      <c r="AM15" s="25" t="inlineStr">
        <is>
          <t>ISRC - exact match in the MRM report (3 monthly lines)</t>
        </is>
      </c>
      <c r="AN15" s="25" t="inlineStr">
        <is>
          <t>No</t>
        </is>
      </c>
    </row>
    <row r="16">
      <c r="A16" t="inlineStr">
        <is>
          <t>INE402202885</t>
        </is>
      </c>
      <c r="B16" t="inlineStr">
        <is>
          <t>Mon Naamer Manush_(From"Bheetu")</t>
        </is>
      </c>
      <c r="C16" t="inlineStr">
        <is>
          <t>28551846</t>
        </is>
      </c>
      <c r="D16" s="26" t="n">
        <v>0</v>
      </c>
      <c r="E16" s="26" t="n">
        <v>0.3</v>
      </c>
      <c r="F16" s="16" t="n"/>
      <c r="G16" s="17" t="n">
        <v>0</v>
      </c>
      <c r="H16" s="18" t="inlineStr"/>
      <c r="I16" s="18" t="inlineStr"/>
      <c r="J16" s="19" t="n"/>
      <c r="K16" s="20" t="n"/>
      <c r="L16" s="21" t="inlineStr"/>
      <c r="M16" s="21" t="inlineStr"/>
      <c r="N16" s="22" t="n">
        <v>45991</v>
      </c>
      <c r="O16" s="20" t="n">
        <v>0.3</v>
      </c>
      <c r="P16" s="21" t="inlineStr">
        <is>
          <t>Nov 2025</t>
        </is>
      </c>
      <c r="Q16" s="21" t="inlineStr">
        <is>
          <t>MRM Oct 2025 - Mar 2026</t>
        </is>
      </c>
      <c r="R16" s="22" t="n"/>
      <c r="S16" s="20" t="n"/>
      <c r="T16" s="21" t="inlineStr"/>
      <c r="U16" s="21" t="inlineStr"/>
      <c r="V16" s="22" t="n"/>
      <c r="W16" s="20" t="n"/>
      <c r="X16" s="21" t="inlineStr"/>
      <c r="Y16" s="21" t="inlineStr"/>
      <c r="Z16" s="22" t="n"/>
      <c r="AA16" s="20" t="n"/>
      <c r="AB16" s="21" t="inlineStr"/>
      <c r="AC16" s="21" t="inlineStr"/>
      <c r="AD16" s="22" t="n"/>
      <c r="AE16" s="20" t="n"/>
      <c r="AF16" s="21" t="inlineStr"/>
      <c r="AG16" s="21" t="inlineStr"/>
      <c r="AH16" s="23" t="n">
        <v>0</v>
      </c>
      <c r="AI16" s="17" t="n">
        <v>0.3</v>
      </c>
      <c r="AJ16" s="17" t="n">
        <v>0.3</v>
      </c>
      <c r="AK16" s="24" t="inlineStr">
        <is>
          <t>Not SVF work</t>
        </is>
      </c>
      <c r="AL16" s="25" t="inlineStr">
        <is>
          <t>No - work number, song title and title-without-film-name all absent</t>
        </is>
      </c>
      <c r="AM16" s="25" t="inlineStr">
        <is>
          <t>ISRC - exact match in the MRM report (1 monthly line)</t>
        </is>
      </c>
      <c r="AN16" s="25" t="inlineStr">
        <is>
          <t>No</t>
        </is>
      </c>
    </row>
    <row r="17">
      <c r="A17" s="14" t="inlineStr">
        <is>
          <t>INE402202886</t>
        </is>
      </c>
      <c r="B17" s="14" t="inlineStr">
        <is>
          <t>Raat Amar Shorire_(From"Bheetu")</t>
        </is>
      </c>
      <c r="C17" s="14" t="inlineStr">
        <is>
          <t>28551847</t>
        </is>
      </c>
      <c r="D17" s="15" t="n">
        <v>0</v>
      </c>
      <c r="E17" s="15" t="n">
        <v>0.3</v>
      </c>
      <c r="F17" s="16" t="n"/>
      <c r="G17" s="17" t="n">
        <v>0</v>
      </c>
      <c r="H17" s="18" t="inlineStr"/>
      <c r="I17" s="18" t="inlineStr"/>
      <c r="J17" s="19" t="n"/>
      <c r="K17" s="20" t="n"/>
      <c r="L17" s="21" t="inlineStr"/>
      <c r="M17" s="21" t="inlineStr"/>
      <c r="N17" s="22" t="n">
        <v>45991</v>
      </c>
      <c r="O17" s="20" t="n">
        <v>0.3</v>
      </c>
      <c r="P17" s="21" t="inlineStr">
        <is>
          <t>Nov 2025</t>
        </is>
      </c>
      <c r="Q17" s="21" t="inlineStr">
        <is>
          <t>MRM Oct 2025 - Mar 2026</t>
        </is>
      </c>
      <c r="R17" s="22" t="n"/>
      <c r="S17" s="20" t="n"/>
      <c r="T17" s="21" t="inlineStr"/>
      <c r="U17" s="21" t="inlineStr"/>
      <c r="V17" s="22" t="n"/>
      <c r="W17" s="20" t="n"/>
      <c r="X17" s="21" t="inlineStr"/>
      <c r="Y17" s="21" t="inlineStr"/>
      <c r="Z17" s="22" t="n"/>
      <c r="AA17" s="20" t="n"/>
      <c r="AB17" s="21" t="inlineStr"/>
      <c r="AC17" s="21" t="inlineStr"/>
      <c r="AD17" s="22" t="n"/>
      <c r="AE17" s="20" t="n"/>
      <c r="AF17" s="21" t="inlineStr"/>
      <c r="AG17" s="21" t="inlineStr"/>
      <c r="AH17" s="23" t="n">
        <v>0</v>
      </c>
      <c r="AI17" s="17" t="n">
        <v>0.3</v>
      </c>
      <c r="AJ17" s="17" t="n">
        <v>0.3</v>
      </c>
      <c r="AK17" s="24" t="inlineStr">
        <is>
          <t>Not SVF work</t>
        </is>
      </c>
      <c r="AL17" s="25" t="inlineStr">
        <is>
          <t>No - work number, song title and title-without-film-name all absent</t>
        </is>
      </c>
      <c r="AM17" s="25" t="inlineStr">
        <is>
          <t>ISRC - exact match in the MRM report (1 monthly line)</t>
        </is>
      </c>
      <c r="AN17" s="25" t="inlineStr">
        <is>
          <t>No</t>
        </is>
      </c>
    </row>
    <row r="18">
      <c r="A18" t="inlineStr">
        <is>
          <t>INE402202910</t>
        </is>
      </c>
      <c r="B18" t="inlineStr">
        <is>
          <t>Kochi Kochi Mukh_(From"Sangharsha")</t>
        </is>
      </c>
      <c r="C18" t="inlineStr">
        <is>
          <t>28551884</t>
        </is>
      </c>
      <c r="D18" s="26" t="n">
        <v>0</v>
      </c>
      <c r="E18" s="26" t="n">
        <v>0.27</v>
      </c>
      <c r="F18" s="16" t="n"/>
      <c r="G18" s="17" t="n">
        <v>0</v>
      </c>
      <c r="H18" s="18" t="inlineStr"/>
      <c r="I18" s="18" t="inlineStr"/>
      <c r="J18" s="19" t="n"/>
      <c r="K18" s="20" t="n"/>
      <c r="L18" s="21" t="inlineStr"/>
      <c r="M18" s="21" t="inlineStr"/>
      <c r="N18" s="22" t="n">
        <v>45991</v>
      </c>
      <c r="O18" s="20" t="n">
        <v>0.08</v>
      </c>
      <c r="P18" s="21" t="inlineStr">
        <is>
          <t>Nov 2025</t>
        </is>
      </c>
      <c r="Q18" s="21" t="inlineStr">
        <is>
          <t>MRM Oct 2025 - Mar 2026</t>
        </is>
      </c>
      <c r="R18" s="22" t="n">
        <v>46022</v>
      </c>
      <c r="S18" s="20" t="n">
        <v>0.19</v>
      </c>
      <c r="T18" s="21" t="inlineStr">
        <is>
          <t>Dec 2025</t>
        </is>
      </c>
      <c r="U18" s="21" t="inlineStr">
        <is>
          <t>MRM Oct 2025 - Mar 2026</t>
        </is>
      </c>
      <c r="V18" s="22" t="n"/>
      <c r="W18" s="20" t="n"/>
      <c r="X18" s="21" t="inlineStr"/>
      <c r="Y18" s="21" t="inlineStr"/>
      <c r="Z18" s="22" t="n"/>
      <c r="AA18" s="20" t="n"/>
      <c r="AB18" s="21" t="inlineStr"/>
      <c r="AC18" s="21" t="inlineStr"/>
      <c r="AD18" s="22" t="n"/>
      <c r="AE18" s="20" t="n"/>
      <c r="AF18" s="21" t="inlineStr"/>
      <c r="AG18" s="21" t="inlineStr"/>
      <c r="AH18" s="23" t="n">
        <v>0</v>
      </c>
      <c r="AI18" s="17" t="n">
        <v>0.27</v>
      </c>
      <c r="AJ18" s="17" t="n">
        <v>0.27</v>
      </c>
      <c r="AK18" s="24" t="inlineStr">
        <is>
          <t>Not SVF work</t>
        </is>
      </c>
      <c r="AL18" s="25" t="inlineStr">
        <is>
          <t>No - work number, song title and title-without-film-name all absent</t>
        </is>
      </c>
      <c r="AM18" s="25" t="inlineStr">
        <is>
          <t>ISRC - exact match in the MRM report (2 monthly lines)</t>
        </is>
      </c>
      <c r="AN18" s="25" t="inlineStr">
        <is>
          <t>No</t>
        </is>
      </c>
    </row>
    <row r="19">
      <c r="A19" s="14" t="inlineStr">
        <is>
          <t>INE402203087</t>
        </is>
      </c>
      <c r="B19" s="14" t="inlineStr">
        <is>
          <t>Kotobar Vebechinu_(From"Hing Ting Chhot")</t>
        </is>
      </c>
      <c r="C19" s="14" t="inlineStr">
        <is>
          <t>28552246</t>
        </is>
      </c>
      <c r="D19" s="15" t="n">
        <v>0</v>
      </c>
      <c r="E19" s="15" t="n">
        <v>0.27</v>
      </c>
      <c r="F19" s="16" t="n"/>
      <c r="G19" s="17" t="n">
        <v>0</v>
      </c>
      <c r="H19" s="18" t="inlineStr"/>
      <c r="I19" s="18" t="inlineStr"/>
      <c r="J19" s="19" t="n">
        <v>45961</v>
      </c>
      <c r="K19" s="20" t="n">
        <v>0.27</v>
      </c>
      <c r="L19" s="21" t="inlineStr">
        <is>
          <t>Oct 2025</t>
        </is>
      </c>
      <c r="M19" s="21" t="inlineStr">
        <is>
          <t>MRM Oct 2025 - Mar 2026</t>
        </is>
      </c>
      <c r="N19" s="22" t="n"/>
      <c r="O19" s="20" t="n"/>
      <c r="P19" s="21" t="inlineStr"/>
      <c r="Q19" s="21" t="inlineStr"/>
      <c r="R19" s="22" t="n"/>
      <c r="S19" s="20" t="n"/>
      <c r="T19" s="21" t="inlineStr"/>
      <c r="U19" s="21" t="inlineStr"/>
      <c r="V19" s="22" t="n"/>
      <c r="W19" s="20" t="n"/>
      <c r="X19" s="21" t="inlineStr"/>
      <c r="Y19" s="21" t="inlineStr"/>
      <c r="Z19" s="22" t="n"/>
      <c r="AA19" s="20" t="n"/>
      <c r="AB19" s="21" t="inlineStr"/>
      <c r="AC19" s="21" t="inlineStr"/>
      <c r="AD19" s="22" t="n"/>
      <c r="AE19" s="20" t="n"/>
      <c r="AF19" s="21" t="inlineStr"/>
      <c r="AG19" s="21" t="inlineStr"/>
      <c r="AH19" s="23" t="n">
        <v>0</v>
      </c>
      <c r="AI19" s="17" t="n">
        <v>0.27</v>
      </c>
      <c r="AJ19" s="17" t="n">
        <v>0.27</v>
      </c>
      <c r="AK19" s="24" t="inlineStr">
        <is>
          <t>Not SVF work</t>
        </is>
      </c>
      <c r="AL19" s="25" t="inlineStr">
        <is>
          <t>No - work number, song title and title-without-film-name all absent</t>
        </is>
      </c>
      <c r="AM19" s="25" t="inlineStr">
        <is>
          <t>ISRC - exact match in the MRM report (1 monthly line)</t>
        </is>
      </c>
      <c r="AN19" s="25" t="inlineStr">
        <is>
          <t>No</t>
        </is>
      </c>
    </row>
    <row r="20">
      <c r="A20" t="inlineStr">
        <is>
          <t>INE402202882</t>
        </is>
      </c>
      <c r="B20" t="inlineStr">
        <is>
          <t>Seshbar Dubte Dubte_(From"Promotion")</t>
        </is>
      </c>
      <c r="C20" t="inlineStr">
        <is>
          <t>28551844</t>
        </is>
      </c>
      <c r="D20" s="26" t="n">
        <v>0</v>
      </c>
      <c r="E20" s="26" t="n">
        <v>0.25</v>
      </c>
      <c r="F20" s="16" t="n"/>
      <c r="G20" s="17" t="n">
        <v>0</v>
      </c>
      <c r="H20" s="18" t="inlineStr"/>
      <c r="I20" s="18" t="inlineStr"/>
      <c r="J20" s="19" t="n"/>
      <c r="K20" s="20" t="n"/>
      <c r="L20" s="21" t="inlineStr"/>
      <c r="M20" s="21" t="inlineStr"/>
      <c r="N20" s="22" t="n">
        <v>45991</v>
      </c>
      <c r="O20" s="20" t="n">
        <v>0.25</v>
      </c>
      <c r="P20" s="21" t="inlineStr">
        <is>
          <t>Nov 2025</t>
        </is>
      </c>
      <c r="Q20" s="21" t="inlineStr">
        <is>
          <t>MRM Oct 2025 - Mar 2026</t>
        </is>
      </c>
      <c r="R20" s="22" t="n"/>
      <c r="S20" s="20" t="n"/>
      <c r="T20" s="21" t="inlineStr"/>
      <c r="U20" s="21" t="inlineStr"/>
      <c r="V20" s="22" t="n"/>
      <c r="W20" s="20" t="n"/>
      <c r="X20" s="21" t="inlineStr"/>
      <c r="Y20" s="21" t="inlineStr"/>
      <c r="Z20" s="22" t="n"/>
      <c r="AA20" s="20" t="n"/>
      <c r="AB20" s="21" t="inlineStr"/>
      <c r="AC20" s="21" t="inlineStr"/>
      <c r="AD20" s="22" t="n"/>
      <c r="AE20" s="20" t="n"/>
      <c r="AF20" s="21" t="inlineStr"/>
      <c r="AG20" s="21" t="inlineStr"/>
      <c r="AH20" s="23" t="n">
        <v>0</v>
      </c>
      <c r="AI20" s="17" t="n">
        <v>0.25</v>
      </c>
      <c r="AJ20" s="17" t="n">
        <v>0.25</v>
      </c>
      <c r="AK20" s="24" t="inlineStr">
        <is>
          <t>Not SVF work</t>
        </is>
      </c>
      <c r="AL20" s="25" t="inlineStr">
        <is>
          <t>No - work number, song title and title-without-film-name all absent</t>
        </is>
      </c>
      <c r="AM20" s="25" t="inlineStr">
        <is>
          <t>ISRC - exact match in the MRM report (1 monthly line)</t>
        </is>
      </c>
      <c r="AN20" s="25" t="inlineStr">
        <is>
          <t>No</t>
        </is>
      </c>
    </row>
    <row r="21">
      <c r="A21" s="14" t="inlineStr">
        <is>
          <t>INE402203163</t>
        </is>
      </c>
      <c r="B21" s="14" t="inlineStr">
        <is>
          <t>Sahor Chariye Durez_(From"Andho Prem")</t>
        </is>
      </c>
      <c r="C21" s="14" t="inlineStr">
        <is>
          <t>23786698</t>
        </is>
      </c>
      <c r="D21" s="15" t="n">
        <v>0</v>
      </c>
      <c r="E21" s="15" t="n">
        <v>0.19</v>
      </c>
      <c r="F21" s="16" t="n"/>
      <c r="G21" s="17" t="n">
        <v>0</v>
      </c>
      <c r="H21" s="18" t="inlineStr"/>
      <c r="I21" s="18" t="inlineStr"/>
      <c r="J21" s="19" t="n">
        <v>45961</v>
      </c>
      <c r="K21" s="20" t="n">
        <v>0.19</v>
      </c>
      <c r="L21" s="21" t="inlineStr">
        <is>
          <t>Oct 2025</t>
        </is>
      </c>
      <c r="M21" s="21" t="inlineStr">
        <is>
          <t>MRM Oct 2025 - Mar 2026</t>
        </is>
      </c>
      <c r="N21" s="22" t="n"/>
      <c r="O21" s="20" t="n"/>
      <c r="P21" s="21" t="inlineStr"/>
      <c r="Q21" s="21" t="inlineStr"/>
      <c r="R21" s="22" t="n"/>
      <c r="S21" s="20" t="n"/>
      <c r="T21" s="21" t="inlineStr"/>
      <c r="U21" s="21" t="inlineStr"/>
      <c r="V21" s="22" t="n"/>
      <c r="W21" s="20" t="n"/>
      <c r="X21" s="21" t="inlineStr"/>
      <c r="Y21" s="21" t="inlineStr"/>
      <c r="Z21" s="22" t="n"/>
      <c r="AA21" s="20" t="n"/>
      <c r="AB21" s="21" t="inlineStr"/>
      <c r="AC21" s="21" t="inlineStr"/>
      <c r="AD21" s="22" t="n"/>
      <c r="AE21" s="20" t="n"/>
      <c r="AF21" s="21" t="inlineStr"/>
      <c r="AG21" s="21" t="inlineStr"/>
      <c r="AH21" s="23" t="n">
        <v>0</v>
      </c>
      <c r="AI21" s="17" t="n">
        <v>0.19</v>
      </c>
      <c r="AJ21" s="17" t="n">
        <v>0.19</v>
      </c>
      <c r="AK21" s="24" t="inlineStr">
        <is>
          <t>Not SVF work</t>
        </is>
      </c>
      <c r="AL21" s="25" t="inlineStr">
        <is>
          <t>No - work number, song title and title-without-film-name all absent</t>
        </is>
      </c>
      <c r="AM21" s="25" t="inlineStr">
        <is>
          <t>ISRC - exact match in the MRM report (1 monthly line)</t>
        </is>
      </c>
      <c r="AN21" s="25" t="inlineStr">
        <is>
          <t>No</t>
        </is>
      </c>
    </row>
    <row r="22">
      <c r="A22" t="inlineStr">
        <is>
          <t>INE401200596</t>
        </is>
      </c>
      <c r="B22" t="inlineStr">
        <is>
          <t>Hare Hare Rama</t>
        </is>
      </c>
      <c r="C22" t="inlineStr">
        <is>
          <t>23543723</t>
        </is>
      </c>
      <c r="D22" s="26" t="n">
        <v>0</v>
      </c>
      <c r="E22" s="26" t="n">
        <v>0.18</v>
      </c>
      <c r="F22" s="16" t="n"/>
      <c r="G22" s="17" t="n">
        <v>0</v>
      </c>
      <c r="H22" s="18" t="inlineStr"/>
      <c r="I22" s="18" t="inlineStr"/>
      <c r="J22" s="19" t="n">
        <v>45961</v>
      </c>
      <c r="K22" s="20" t="n">
        <v>0.1</v>
      </c>
      <c r="L22" s="21" t="inlineStr">
        <is>
          <t>Oct 2025</t>
        </is>
      </c>
      <c r="M22" s="21" t="inlineStr">
        <is>
          <t>MRM Oct 2025 - Mar 2026</t>
        </is>
      </c>
      <c r="N22" s="22" t="n">
        <v>45991</v>
      </c>
      <c r="O22" s="20" t="n">
        <v>0.08</v>
      </c>
      <c r="P22" s="21" t="inlineStr">
        <is>
          <t>Nov 2025</t>
        </is>
      </c>
      <c r="Q22" s="21" t="inlineStr">
        <is>
          <t>MRM Oct 2025 - Mar 2026</t>
        </is>
      </c>
      <c r="R22" s="22" t="n"/>
      <c r="S22" s="20" t="n"/>
      <c r="T22" s="21" t="inlineStr"/>
      <c r="U22" s="21" t="inlineStr"/>
      <c r="V22" s="22" t="n"/>
      <c r="W22" s="20" t="n"/>
      <c r="X22" s="21" t="inlineStr"/>
      <c r="Y22" s="21" t="inlineStr"/>
      <c r="Z22" s="22" t="n"/>
      <c r="AA22" s="20" t="n"/>
      <c r="AB22" s="21" t="inlineStr"/>
      <c r="AC22" s="21" t="inlineStr"/>
      <c r="AD22" s="22" t="n"/>
      <c r="AE22" s="20" t="n"/>
      <c r="AF22" s="21" t="inlineStr"/>
      <c r="AG22" s="21" t="inlineStr"/>
      <c r="AH22" s="23" t="n">
        <v>0</v>
      </c>
      <c r="AI22" s="17" t="n">
        <v>0.18</v>
      </c>
      <c r="AJ22" s="17" t="n">
        <v>0.18</v>
      </c>
      <c r="AK22" s="24" t="inlineStr">
        <is>
          <t>Not SVF work</t>
        </is>
      </c>
      <c r="AL22" s="25" t="inlineStr">
        <is>
          <t>No - work number, song title and title-without-film-name all absent</t>
        </is>
      </c>
      <c r="AM22" s="25" t="inlineStr">
        <is>
          <t>ISRC - exact match in the MRM report (2 monthly lines)</t>
        </is>
      </c>
      <c r="AN22" s="25" t="inlineStr">
        <is>
          <t>No</t>
        </is>
      </c>
    </row>
    <row r="23">
      <c r="A23" s="14" t="inlineStr">
        <is>
          <t>INE402202900</t>
        </is>
      </c>
      <c r="B23" s="14" t="inlineStr">
        <is>
          <t>Elomelo_(From "Target Kolkata")</t>
        </is>
      </c>
      <c r="C23" s="14" t="inlineStr">
        <is>
          <t>28551857</t>
        </is>
      </c>
      <c r="D23" s="15" t="n">
        <v>0</v>
      </c>
      <c r="E23" s="15" t="n">
        <v>0.16</v>
      </c>
      <c r="F23" s="16" t="n"/>
      <c r="G23" s="17" t="n">
        <v>0</v>
      </c>
      <c r="H23" s="18" t="inlineStr"/>
      <c r="I23" s="18" t="inlineStr"/>
      <c r="J23" s="19" t="n"/>
      <c r="K23" s="20" t="n"/>
      <c r="L23" s="21" t="inlineStr"/>
      <c r="M23" s="21" t="inlineStr"/>
      <c r="N23" s="22" t="n">
        <v>45991</v>
      </c>
      <c r="O23" s="20" t="n">
        <v>0.16</v>
      </c>
      <c r="P23" s="21" t="inlineStr">
        <is>
          <t>Nov 2025</t>
        </is>
      </c>
      <c r="Q23" s="21" t="inlineStr">
        <is>
          <t>MRM Oct 2025 - Mar 2026</t>
        </is>
      </c>
      <c r="R23" s="22" t="n"/>
      <c r="S23" s="20" t="n"/>
      <c r="T23" s="21" t="inlineStr"/>
      <c r="U23" s="21" t="inlineStr"/>
      <c r="V23" s="22" t="n"/>
      <c r="W23" s="20" t="n"/>
      <c r="X23" s="21" t="inlineStr"/>
      <c r="Y23" s="21" t="inlineStr"/>
      <c r="Z23" s="22" t="n"/>
      <c r="AA23" s="20" t="n"/>
      <c r="AB23" s="21" t="inlineStr"/>
      <c r="AC23" s="21" t="inlineStr"/>
      <c r="AD23" s="22" t="n"/>
      <c r="AE23" s="20" t="n"/>
      <c r="AF23" s="21" t="inlineStr"/>
      <c r="AG23" s="21" t="inlineStr"/>
      <c r="AH23" s="23" t="n">
        <v>0</v>
      </c>
      <c r="AI23" s="17" t="n">
        <v>0.16</v>
      </c>
      <c r="AJ23" s="17" t="n">
        <v>0.16</v>
      </c>
      <c r="AK23" s="24" t="inlineStr">
        <is>
          <t>Not SVF work</t>
        </is>
      </c>
      <c r="AL23" s="25" t="inlineStr">
        <is>
          <t>No - work number, song title and title-without-film-name all absent</t>
        </is>
      </c>
      <c r="AM23" s="25" t="inlineStr">
        <is>
          <t>ISRC - exact match in the MRM report (1 monthly line)</t>
        </is>
      </c>
      <c r="AN23" s="25" t="inlineStr">
        <is>
          <t>No</t>
        </is>
      </c>
    </row>
    <row r="24">
      <c r="A24" t="inlineStr">
        <is>
          <t>INE402202904</t>
        </is>
      </c>
      <c r="B24" t="inlineStr">
        <is>
          <t>Masti Dena Na_(From"Handcuff")</t>
        </is>
      </c>
      <c r="C24" t="inlineStr">
        <is>
          <t>28551879</t>
        </is>
      </c>
      <c r="D24" s="26" t="n">
        <v>0</v>
      </c>
      <c r="E24" s="26" t="n">
        <v>0.16</v>
      </c>
      <c r="F24" s="16" t="n"/>
      <c r="G24" s="17" t="n">
        <v>0</v>
      </c>
      <c r="H24" s="18" t="inlineStr"/>
      <c r="I24" s="18" t="inlineStr"/>
      <c r="J24" s="19" t="n"/>
      <c r="K24" s="20" t="n"/>
      <c r="L24" s="21" t="inlineStr"/>
      <c r="M24" s="21" t="inlineStr"/>
      <c r="N24" s="22" t="n">
        <v>45991</v>
      </c>
      <c r="O24" s="20" t="n">
        <v>0.16</v>
      </c>
      <c r="P24" s="21" t="inlineStr">
        <is>
          <t>Nov 2025</t>
        </is>
      </c>
      <c r="Q24" s="21" t="inlineStr">
        <is>
          <t>MRM Oct 2025 - Mar 2026</t>
        </is>
      </c>
      <c r="R24" s="22" t="n"/>
      <c r="S24" s="20" t="n"/>
      <c r="T24" s="21" t="inlineStr"/>
      <c r="U24" s="21" t="inlineStr"/>
      <c r="V24" s="22" t="n"/>
      <c r="W24" s="20" t="n"/>
      <c r="X24" s="21" t="inlineStr"/>
      <c r="Y24" s="21" t="inlineStr"/>
      <c r="Z24" s="22" t="n"/>
      <c r="AA24" s="20" t="n"/>
      <c r="AB24" s="21" t="inlineStr"/>
      <c r="AC24" s="21" t="inlineStr"/>
      <c r="AD24" s="22" t="n"/>
      <c r="AE24" s="20" t="n"/>
      <c r="AF24" s="21" t="inlineStr"/>
      <c r="AG24" s="21" t="inlineStr"/>
      <c r="AH24" s="23" t="n">
        <v>0</v>
      </c>
      <c r="AI24" s="17" t="n">
        <v>0.16</v>
      </c>
      <c r="AJ24" s="17" t="n">
        <v>0.16</v>
      </c>
      <c r="AK24" s="24" t="inlineStr">
        <is>
          <t>Not SVF work</t>
        </is>
      </c>
      <c r="AL24" s="25" t="inlineStr">
        <is>
          <t>No - work number, song title and title-without-film-name all absent</t>
        </is>
      </c>
      <c r="AM24" s="25" t="inlineStr">
        <is>
          <t>ISRC - exact match in the MRM report (1 monthly line)</t>
        </is>
      </c>
      <c r="AN24" s="25" t="inlineStr">
        <is>
          <t>No</t>
        </is>
      </c>
    </row>
    <row r="25">
      <c r="A25" s="14" t="inlineStr">
        <is>
          <t>INE402202855</t>
        </is>
      </c>
      <c r="B25" s="14" t="inlineStr">
        <is>
          <t>Eai Pahar Jane Eai Jharna_(From"Andho Prem")</t>
        </is>
      </c>
      <c r="C25" s="14" t="inlineStr">
        <is>
          <t>28614867</t>
        </is>
      </c>
      <c r="D25" s="15" t="n">
        <v>0</v>
      </c>
      <c r="E25" s="15" t="n">
        <v>0.1</v>
      </c>
      <c r="F25" s="16" t="n"/>
      <c r="G25" s="17" t="n">
        <v>0</v>
      </c>
      <c r="H25" s="18" t="inlineStr"/>
      <c r="I25" s="18" t="inlineStr"/>
      <c r="J25" s="19" t="n">
        <v>45961</v>
      </c>
      <c r="K25" s="20" t="n">
        <v>0.1</v>
      </c>
      <c r="L25" s="21" t="inlineStr">
        <is>
          <t>Oct 2025</t>
        </is>
      </c>
      <c r="M25" s="21" t="inlineStr">
        <is>
          <t>MRM Oct 2025 - Mar 2026</t>
        </is>
      </c>
      <c r="N25" s="22" t="n"/>
      <c r="O25" s="20" t="n"/>
      <c r="P25" s="21" t="inlineStr"/>
      <c r="Q25" s="21" t="inlineStr"/>
      <c r="R25" s="22" t="n"/>
      <c r="S25" s="20" t="n"/>
      <c r="T25" s="21" t="inlineStr"/>
      <c r="U25" s="21" t="inlineStr"/>
      <c r="V25" s="22" t="n"/>
      <c r="W25" s="20" t="n"/>
      <c r="X25" s="21" t="inlineStr"/>
      <c r="Y25" s="21" t="inlineStr"/>
      <c r="Z25" s="22" t="n"/>
      <c r="AA25" s="20" t="n"/>
      <c r="AB25" s="21" t="inlineStr"/>
      <c r="AC25" s="21" t="inlineStr"/>
      <c r="AD25" s="22" t="n"/>
      <c r="AE25" s="20" t="n"/>
      <c r="AF25" s="21" t="inlineStr"/>
      <c r="AG25" s="21" t="inlineStr"/>
      <c r="AH25" s="23" t="n">
        <v>0</v>
      </c>
      <c r="AI25" s="17" t="n">
        <v>0.1</v>
      </c>
      <c r="AJ25" s="17" t="n">
        <v>0.1</v>
      </c>
      <c r="AK25" s="24" t="inlineStr">
        <is>
          <t>Not SVF work</t>
        </is>
      </c>
      <c r="AL25" s="25" t="inlineStr">
        <is>
          <t>No - work number, song title and title-without-film-name all absent</t>
        </is>
      </c>
      <c r="AM25" s="25" t="inlineStr">
        <is>
          <t>ISRC - exact match in the MRM report (1 monthly line)</t>
        </is>
      </c>
      <c r="AN25" s="25" t="inlineStr">
        <is>
          <t>No</t>
        </is>
      </c>
    </row>
    <row r="26">
      <c r="A26" t="inlineStr">
        <is>
          <t>INE400601837</t>
        </is>
      </c>
      <c r="B26" t="inlineStr">
        <is>
          <t>Moyna Re</t>
        </is>
      </c>
      <c r="C26" t="inlineStr">
        <is>
          <t>24780018</t>
        </is>
      </c>
      <c r="D26" s="26" t="n">
        <v>0</v>
      </c>
      <c r="E26" s="26" t="n">
        <v>0.1</v>
      </c>
      <c r="F26" s="16" t="n"/>
      <c r="G26" s="17" t="n">
        <v>0</v>
      </c>
      <c r="H26" s="18" t="inlineStr"/>
      <c r="I26" s="18" t="inlineStr"/>
      <c r="J26" s="19" t="n">
        <v>45961</v>
      </c>
      <c r="K26" s="20" t="n">
        <v>0.05</v>
      </c>
      <c r="L26" s="21" t="inlineStr">
        <is>
          <t>Oct 2025</t>
        </is>
      </c>
      <c r="M26" s="21" t="inlineStr">
        <is>
          <t>MRM Oct 2025 - Mar 2026</t>
        </is>
      </c>
      <c r="N26" s="22" t="n">
        <v>45991</v>
      </c>
      <c r="O26" s="20" t="n">
        <v>0.05</v>
      </c>
      <c r="P26" s="21" t="inlineStr">
        <is>
          <t>Nov 2025</t>
        </is>
      </c>
      <c r="Q26" s="21" t="inlineStr">
        <is>
          <t>MRM Oct 2025 - Mar 2026</t>
        </is>
      </c>
      <c r="R26" s="22" t="n"/>
      <c r="S26" s="20" t="n"/>
      <c r="T26" s="21" t="inlineStr"/>
      <c r="U26" s="21" t="inlineStr"/>
      <c r="V26" s="22" t="n"/>
      <c r="W26" s="20" t="n"/>
      <c r="X26" s="21" t="inlineStr"/>
      <c r="Y26" s="21" t="inlineStr"/>
      <c r="Z26" s="22" t="n"/>
      <c r="AA26" s="20" t="n"/>
      <c r="AB26" s="21" t="inlineStr"/>
      <c r="AC26" s="21" t="inlineStr"/>
      <c r="AD26" s="22" t="n"/>
      <c r="AE26" s="20" t="n"/>
      <c r="AF26" s="21" t="inlineStr"/>
      <c r="AG26" s="21" t="inlineStr"/>
      <c r="AH26" s="23" t="n">
        <v>0</v>
      </c>
      <c r="AI26" s="17" t="n">
        <v>0.1</v>
      </c>
      <c r="AJ26" s="17" t="n">
        <v>0.1</v>
      </c>
      <c r="AK26" s="24" t="inlineStr">
        <is>
          <t>Not SVF work</t>
        </is>
      </c>
      <c r="AL26" s="25" t="inlineStr">
        <is>
          <t>No - work number, song title and title-without-film-name all absent</t>
        </is>
      </c>
      <c r="AM26" s="25" t="inlineStr">
        <is>
          <t>ISRC - exact match in the MRM report (2 monthly lines)</t>
        </is>
      </c>
      <c r="AN26" s="25" t="inlineStr">
        <is>
          <t>No</t>
        </is>
      </c>
    </row>
    <row r="27">
      <c r="A27" s="14" t="inlineStr">
        <is>
          <t>INE402202911</t>
        </is>
      </c>
      <c r="B27" s="14" t="inlineStr">
        <is>
          <t>Bor Esechhe Bor Esechhe_(From"Sundar Bou")</t>
        </is>
      </c>
      <c r="C27" s="14" t="inlineStr">
        <is>
          <t>23786967</t>
        </is>
      </c>
      <c r="D27" s="15" t="n">
        <v>0</v>
      </c>
      <c r="E27" s="15" t="n">
        <v>0.08</v>
      </c>
      <c r="F27" s="16" t="n"/>
      <c r="G27" s="17" t="n">
        <v>0</v>
      </c>
      <c r="H27" s="18" t="inlineStr"/>
      <c r="I27" s="18" t="inlineStr"/>
      <c r="J27" s="19" t="n"/>
      <c r="K27" s="20" t="n"/>
      <c r="L27" s="21" t="inlineStr"/>
      <c r="M27" s="21" t="inlineStr"/>
      <c r="N27" s="22" t="n">
        <v>45991</v>
      </c>
      <c r="O27" s="20" t="n">
        <v>0.08</v>
      </c>
      <c r="P27" s="21" t="inlineStr">
        <is>
          <t>Nov 2025</t>
        </is>
      </c>
      <c r="Q27" s="21" t="inlineStr">
        <is>
          <t>MRM Oct 2025 - Mar 2026</t>
        </is>
      </c>
      <c r="R27" s="22" t="n"/>
      <c r="S27" s="20" t="n"/>
      <c r="T27" s="21" t="inlineStr"/>
      <c r="U27" s="21" t="inlineStr"/>
      <c r="V27" s="22" t="n"/>
      <c r="W27" s="20" t="n"/>
      <c r="X27" s="21" t="inlineStr"/>
      <c r="Y27" s="21" t="inlineStr"/>
      <c r="Z27" s="22" t="n"/>
      <c r="AA27" s="20" t="n"/>
      <c r="AB27" s="21" t="inlineStr"/>
      <c r="AC27" s="21" t="inlineStr"/>
      <c r="AD27" s="22" t="n"/>
      <c r="AE27" s="20" t="n"/>
      <c r="AF27" s="21" t="inlineStr"/>
      <c r="AG27" s="21" t="inlineStr"/>
      <c r="AH27" s="23" t="n">
        <v>0</v>
      </c>
      <c r="AI27" s="17" t="n">
        <v>0.08</v>
      </c>
      <c r="AJ27" s="17" t="n">
        <v>0.08</v>
      </c>
      <c r="AK27" s="24" t="inlineStr">
        <is>
          <t>Not SVF work</t>
        </is>
      </c>
      <c r="AL27" s="25" t="inlineStr">
        <is>
          <t>No - work number, song title and title-without-film-name all absent</t>
        </is>
      </c>
      <c r="AM27" s="25" t="inlineStr">
        <is>
          <t>ISRC - exact match in the MRM report (1 monthly line)</t>
        </is>
      </c>
      <c r="AN27" s="25" t="inlineStr">
        <is>
          <t>No</t>
        </is>
      </c>
    </row>
    <row r="28">
      <c r="A28" t="inlineStr">
        <is>
          <t>INE402202909</t>
        </is>
      </c>
      <c r="B28" t="inlineStr">
        <is>
          <t>Jatobar Maa Dak Suni_(From"Sundar Bou")</t>
        </is>
      </c>
      <c r="C28" t="inlineStr">
        <is>
          <t>28551883</t>
        </is>
      </c>
      <c r="D28" s="26" t="n">
        <v>0</v>
      </c>
      <c r="E28" s="26" t="n">
        <v>0.08</v>
      </c>
      <c r="F28" s="16" t="n"/>
      <c r="G28" s="17" t="n">
        <v>0</v>
      </c>
      <c r="H28" s="18" t="inlineStr"/>
      <c r="I28" s="18" t="inlineStr"/>
      <c r="J28" s="19" t="n"/>
      <c r="K28" s="20" t="n"/>
      <c r="L28" s="21" t="inlineStr"/>
      <c r="M28" s="21" t="inlineStr"/>
      <c r="N28" s="22" t="n">
        <v>45991</v>
      </c>
      <c r="O28" s="20" t="n">
        <v>0.08</v>
      </c>
      <c r="P28" s="21" t="inlineStr">
        <is>
          <t>Nov 2025</t>
        </is>
      </c>
      <c r="Q28" s="21" t="inlineStr">
        <is>
          <t>MRM Oct 2025 - Mar 2026</t>
        </is>
      </c>
      <c r="R28" s="22" t="n"/>
      <c r="S28" s="20" t="n"/>
      <c r="T28" s="21" t="inlineStr"/>
      <c r="U28" s="21" t="inlineStr"/>
      <c r="V28" s="22" t="n"/>
      <c r="W28" s="20" t="n"/>
      <c r="X28" s="21" t="inlineStr"/>
      <c r="Y28" s="21" t="inlineStr"/>
      <c r="Z28" s="22" t="n"/>
      <c r="AA28" s="20" t="n"/>
      <c r="AB28" s="21" t="inlineStr"/>
      <c r="AC28" s="21" t="inlineStr"/>
      <c r="AD28" s="22" t="n"/>
      <c r="AE28" s="20" t="n"/>
      <c r="AF28" s="21" t="inlineStr"/>
      <c r="AG28" s="21" t="inlineStr"/>
      <c r="AH28" s="23" t="n">
        <v>0</v>
      </c>
      <c r="AI28" s="17" t="n">
        <v>0.08</v>
      </c>
      <c r="AJ28" s="17" t="n">
        <v>0.08</v>
      </c>
      <c r="AK28" s="24" t="inlineStr">
        <is>
          <t>Not SVF work</t>
        </is>
      </c>
      <c r="AL28" s="25" t="inlineStr">
        <is>
          <t>No - work number, song title and title-without-film-name all absent</t>
        </is>
      </c>
      <c r="AM28" s="25" t="inlineStr">
        <is>
          <t>ISRC - exact match in the MRM report (1 monthly line)</t>
        </is>
      </c>
      <c r="AN28" s="25" t="inlineStr">
        <is>
          <t>No</t>
        </is>
      </c>
    </row>
    <row r="29">
      <c r="A29" s="14" t="inlineStr">
        <is>
          <t>INE402202912</t>
        </is>
      </c>
      <c r="B29" s="14" t="inlineStr">
        <is>
          <t>Jhora Patar Shabdo Shono_(From"Satyam Shivam Sundaram")</t>
        </is>
      </c>
      <c r="C29" s="14" t="inlineStr">
        <is>
          <t>28551886</t>
        </is>
      </c>
      <c r="D29" s="15" t="n">
        <v>0</v>
      </c>
      <c r="E29" s="15" t="n">
        <v>0.08</v>
      </c>
      <c r="F29" s="16" t="n"/>
      <c r="G29" s="17" t="n">
        <v>0</v>
      </c>
      <c r="H29" s="18" t="inlineStr"/>
      <c r="I29" s="18" t="inlineStr"/>
      <c r="J29" s="19" t="n"/>
      <c r="K29" s="20" t="n"/>
      <c r="L29" s="21" t="inlineStr"/>
      <c r="M29" s="21" t="inlineStr"/>
      <c r="N29" s="22" t="n">
        <v>45991</v>
      </c>
      <c r="O29" s="20" t="n">
        <v>0.08</v>
      </c>
      <c r="P29" s="21" t="inlineStr">
        <is>
          <t>Nov 2025</t>
        </is>
      </c>
      <c r="Q29" s="21" t="inlineStr">
        <is>
          <t>MRM Oct 2025 - Mar 2026</t>
        </is>
      </c>
      <c r="R29" s="22" t="n"/>
      <c r="S29" s="20" t="n"/>
      <c r="T29" s="21" t="inlineStr"/>
      <c r="U29" s="21" t="inlineStr"/>
      <c r="V29" s="22" t="n"/>
      <c r="W29" s="20" t="n"/>
      <c r="X29" s="21" t="inlineStr"/>
      <c r="Y29" s="21" t="inlineStr"/>
      <c r="Z29" s="22" t="n"/>
      <c r="AA29" s="20" t="n"/>
      <c r="AB29" s="21" t="inlineStr"/>
      <c r="AC29" s="21" t="inlineStr"/>
      <c r="AD29" s="22" t="n"/>
      <c r="AE29" s="20" t="n"/>
      <c r="AF29" s="21" t="inlineStr"/>
      <c r="AG29" s="21" t="inlineStr"/>
      <c r="AH29" s="23" t="n">
        <v>0</v>
      </c>
      <c r="AI29" s="17" t="n">
        <v>0.08</v>
      </c>
      <c r="AJ29" s="17" t="n">
        <v>0.08</v>
      </c>
      <c r="AK29" s="24" t="inlineStr">
        <is>
          <t>Not SVF work</t>
        </is>
      </c>
      <c r="AL29" s="25" t="inlineStr">
        <is>
          <t>No - work number, song title and title-without-film-name all absent</t>
        </is>
      </c>
      <c r="AM29" s="25" t="inlineStr">
        <is>
          <t>ISRC - exact match in the MRM report (1 monthly line)</t>
        </is>
      </c>
      <c r="AN29" s="25" t="inlineStr">
        <is>
          <t>No</t>
        </is>
      </c>
    </row>
    <row r="30">
      <c r="A30" t="inlineStr">
        <is>
          <t>INE402202903</t>
        </is>
      </c>
      <c r="B30" t="inlineStr">
        <is>
          <t>Tomay Dekhar Pore_(From"Tumi Kar")</t>
        </is>
      </c>
      <c r="C30" t="inlineStr">
        <is>
          <t>28551878</t>
        </is>
      </c>
      <c r="D30" s="26" t="n">
        <v>0</v>
      </c>
      <c r="E30" s="26" t="n">
        <v>0.08</v>
      </c>
      <c r="F30" s="16" t="n"/>
      <c r="G30" s="17" t="n">
        <v>0</v>
      </c>
      <c r="H30" s="18" t="inlineStr"/>
      <c r="I30" s="18" t="inlineStr"/>
      <c r="J30" s="19" t="n"/>
      <c r="K30" s="20" t="n"/>
      <c r="L30" s="21" t="inlineStr"/>
      <c r="M30" s="21" t="inlineStr"/>
      <c r="N30" s="22" t="n">
        <v>45991</v>
      </c>
      <c r="O30" s="20" t="n">
        <v>0.08</v>
      </c>
      <c r="P30" s="21" t="inlineStr">
        <is>
          <t>Nov 2025</t>
        </is>
      </c>
      <c r="Q30" s="21" t="inlineStr">
        <is>
          <t>MRM Oct 2025 - Mar 2026</t>
        </is>
      </c>
      <c r="R30" s="22" t="n"/>
      <c r="S30" s="20" t="n"/>
      <c r="T30" s="21" t="inlineStr"/>
      <c r="U30" s="21" t="inlineStr"/>
      <c r="V30" s="22" t="n"/>
      <c r="W30" s="20" t="n"/>
      <c r="X30" s="21" t="inlineStr"/>
      <c r="Y30" s="21" t="inlineStr"/>
      <c r="Z30" s="22" t="n"/>
      <c r="AA30" s="20" t="n"/>
      <c r="AB30" s="21" t="inlineStr"/>
      <c r="AC30" s="21" t="inlineStr"/>
      <c r="AD30" s="22" t="n"/>
      <c r="AE30" s="20" t="n"/>
      <c r="AF30" s="21" t="inlineStr"/>
      <c r="AG30" s="21" t="inlineStr"/>
      <c r="AH30" s="23" t="n">
        <v>0</v>
      </c>
      <c r="AI30" s="17" t="n">
        <v>0.08</v>
      </c>
      <c r="AJ30" s="17" t="n">
        <v>0.08</v>
      </c>
      <c r="AK30" s="24" t="inlineStr">
        <is>
          <t>Not SVF work</t>
        </is>
      </c>
      <c r="AL30" s="25" t="inlineStr">
        <is>
          <t>No - work number, song title and title-without-film-name all absent</t>
        </is>
      </c>
      <c r="AM30" s="25" t="inlineStr">
        <is>
          <t>ISRC - exact match in the MRM report (1 monthly line)</t>
        </is>
      </c>
      <c r="AN30" s="25" t="inlineStr">
        <is>
          <t>No</t>
        </is>
      </c>
    </row>
    <row r="31">
      <c r="A31" s="14" t="inlineStr">
        <is>
          <t>INE400600606</t>
        </is>
      </c>
      <c r="B31" s="14" t="inlineStr">
        <is>
          <t>Aaj Eai Raate</t>
        </is>
      </c>
      <c r="C31" s="14" t="inlineStr">
        <is>
          <t>23543733</t>
        </is>
      </c>
      <c r="D31" s="15" t="n">
        <v>0</v>
      </c>
      <c r="E31" s="15" t="n">
        <v>0.05</v>
      </c>
      <c r="F31" s="16" t="n"/>
      <c r="G31" s="17" t="n">
        <v>0</v>
      </c>
      <c r="H31" s="18" t="inlineStr"/>
      <c r="I31" s="18" t="inlineStr"/>
      <c r="J31" s="19" t="n">
        <v>45961</v>
      </c>
      <c r="K31" s="20" t="n">
        <v>0.05</v>
      </c>
      <c r="L31" s="21" t="inlineStr">
        <is>
          <t>Oct 2025</t>
        </is>
      </c>
      <c r="M31" s="21" t="inlineStr">
        <is>
          <t>MRM Oct 2025 - Mar 2026</t>
        </is>
      </c>
      <c r="N31" s="22" t="n"/>
      <c r="O31" s="20" t="n"/>
      <c r="P31" s="21" t="inlineStr"/>
      <c r="Q31" s="21" t="inlineStr"/>
      <c r="R31" s="22" t="n"/>
      <c r="S31" s="20" t="n"/>
      <c r="T31" s="21" t="inlineStr"/>
      <c r="U31" s="21" t="inlineStr"/>
      <c r="V31" s="22" t="n"/>
      <c r="W31" s="20" t="n"/>
      <c r="X31" s="21" t="inlineStr"/>
      <c r="Y31" s="21" t="inlineStr"/>
      <c r="Z31" s="22" t="n"/>
      <c r="AA31" s="20" t="n"/>
      <c r="AB31" s="21" t="inlineStr"/>
      <c r="AC31" s="21" t="inlineStr"/>
      <c r="AD31" s="22" t="n"/>
      <c r="AE31" s="20" t="n"/>
      <c r="AF31" s="21" t="inlineStr"/>
      <c r="AG31" s="21" t="inlineStr"/>
      <c r="AH31" s="23" t="n">
        <v>0</v>
      </c>
      <c r="AI31" s="17" t="n">
        <v>0.05</v>
      </c>
      <c r="AJ31" s="17" t="n">
        <v>0.05</v>
      </c>
      <c r="AK31" s="24" t="inlineStr">
        <is>
          <t>Not SVF work</t>
        </is>
      </c>
      <c r="AL31" s="25" t="inlineStr">
        <is>
          <t>No - work number, song title and title-without-film-name all absent</t>
        </is>
      </c>
      <c r="AM31" s="25" t="inlineStr">
        <is>
          <t>ISRC - exact match in the MRM report (1 monthly line)</t>
        </is>
      </c>
      <c r="AN31" s="25" t="inlineStr">
        <is>
          <t>No</t>
        </is>
      </c>
    </row>
    <row r="32">
      <c r="A32" t="inlineStr">
        <is>
          <t>INE402202880</t>
        </is>
      </c>
      <c r="B32" t="inlineStr">
        <is>
          <t>Bhalobasa_(From"Window Connection")</t>
        </is>
      </c>
      <c r="C32" t="inlineStr">
        <is>
          <t>29137543</t>
        </is>
      </c>
      <c r="D32" s="26" t="n">
        <v>0</v>
      </c>
      <c r="E32" s="26" t="n">
        <v>0.05</v>
      </c>
      <c r="F32" s="16" t="n"/>
      <c r="G32" s="17" t="n">
        <v>0</v>
      </c>
      <c r="H32" s="18" t="inlineStr"/>
      <c r="I32" s="18" t="inlineStr"/>
      <c r="J32" s="19" t="n"/>
      <c r="K32" s="20" t="n"/>
      <c r="L32" s="21" t="inlineStr"/>
      <c r="M32" s="21" t="inlineStr"/>
      <c r="N32" s="22" t="n"/>
      <c r="O32" s="20" t="n"/>
      <c r="P32" s="21" t="inlineStr"/>
      <c r="Q32" s="21" t="inlineStr"/>
      <c r="R32" s="22" t="n">
        <v>46022</v>
      </c>
      <c r="S32" s="20" t="n">
        <v>0.05</v>
      </c>
      <c r="T32" s="21" t="inlineStr">
        <is>
          <t>Dec 2025</t>
        </is>
      </c>
      <c r="U32" s="21" t="inlineStr">
        <is>
          <t>MRM Oct 2025 - Mar 2026</t>
        </is>
      </c>
      <c r="V32" s="22" t="n"/>
      <c r="W32" s="20" t="n"/>
      <c r="X32" s="21" t="inlineStr"/>
      <c r="Y32" s="21" t="inlineStr"/>
      <c r="Z32" s="22" t="n"/>
      <c r="AA32" s="20" t="n"/>
      <c r="AB32" s="21" t="inlineStr"/>
      <c r="AC32" s="21" t="inlineStr"/>
      <c r="AD32" s="22" t="n"/>
      <c r="AE32" s="20" t="n"/>
      <c r="AF32" s="21" t="inlineStr"/>
      <c r="AG32" s="21" t="inlineStr"/>
      <c r="AH32" s="23" t="n">
        <v>0</v>
      </c>
      <c r="AI32" s="17" t="n">
        <v>0.05</v>
      </c>
      <c r="AJ32" s="17" t="n">
        <v>0.05</v>
      </c>
      <c r="AK32" s="24" t="inlineStr">
        <is>
          <t>Not SVF work</t>
        </is>
      </c>
      <c r="AL32" s="25" t="inlineStr">
        <is>
          <t>No - work number, song title and title-without-film-name all absent</t>
        </is>
      </c>
      <c r="AM32" s="25" t="inlineStr">
        <is>
          <t>ISRC - exact match in the MRM report (1 monthly line)</t>
        </is>
      </c>
      <c r="AN32" s="25" t="inlineStr">
        <is>
          <t>No</t>
        </is>
      </c>
    </row>
    <row r="33">
      <c r="A33" s="14" t="inlineStr">
        <is>
          <t>INE401400196</t>
        </is>
      </c>
      <c r="B33" s="14" t="inlineStr">
        <is>
          <t>Emni Kore</t>
        </is>
      </c>
      <c r="C33" s="14" t="inlineStr">
        <is>
          <t>24215793</t>
        </is>
      </c>
      <c r="D33" s="15" t="n">
        <v>0</v>
      </c>
      <c r="E33" s="15" t="n">
        <v>0.05</v>
      </c>
      <c r="F33" s="16" t="n"/>
      <c r="G33" s="17" t="n">
        <v>0</v>
      </c>
      <c r="H33" s="18" t="inlineStr"/>
      <c r="I33" s="18" t="inlineStr"/>
      <c r="J33" s="19" t="n"/>
      <c r="K33" s="20" t="n"/>
      <c r="L33" s="21" t="inlineStr"/>
      <c r="M33" s="21" t="inlineStr"/>
      <c r="N33" s="22" t="n"/>
      <c r="O33" s="20" t="n"/>
      <c r="P33" s="21" t="inlineStr"/>
      <c r="Q33" s="21" t="inlineStr"/>
      <c r="R33" s="22" t="n"/>
      <c r="S33" s="20" t="n"/>
      <c r="T33" s="21" t="inlineStr"/>
      <c r="U33" s="21" t="inlineStr"/>
      <c r="V33" s="22" t="n"/>
      <c r="W33" s="20" t="n"/>
      <c r="X33" s="21" t="inlineStr"/>
      <c r="Y33" s="21" t="inlineStr"/>
      <c r="Z33" s="22" t="n">
        <v>46081</v>
      </c>
      <c r="AA33" s="20" t="n">
        <v>0.05</v>
      </c>
      <c r="AB33" s="21" t="inlineStr">
        <is>
          <t>Feb 2026</t>
        </is>
      </c>
      <c r="AC33" s="21" t="inlineStr">
        <is>
          <t>MRM Oct 2025 - Mar 2026</t>
        </is>
      </c>
      <c r="AD33" s="22" t="n"/>
      <c r="AE33" s="20" t="n"/>
      <c r="AF33" s="21" t="inlineStr"/>
      <c r="AG33" s="21" t="inlineStr"/>
      <c r="AH33" s="23" t="n">
        <v>0</v>
      </c>
      <c r="AI33" s="17" t="n">
        <v>0.05</v>
      </c>
      <c r="AJ33" s="17" t="n">
        <v>0.05</v>
      </c>
      <c r="AK33" s="24" t="inlineStr">
        <is>
          <t>Not SVF work</t>
        </is>
      </c>
      <c r="AL33" s="25" t="inlineStr">
        <is>
          <t>No - work number, song title and title-without-film-name all absent</t>
        </is>
      </c>
      <c r="AM33" s="25" t="inlineStr">
        <is>
          <t>ISRC - exact match in the MRM report (1 monthly line)</t>
        </is>
      </c>
      <c r="AN33" s="25" t="inlineStr">
        <is>
          <t>No</t>
        </is>
      </c>
    </row>
    <row r="34">
      <c r="A34" t="inlineStr">
        <is>
          <t>INE401002448</t>
        </is>
      </c>
      <c r="B34" t="inlineStr">
        <is>
          <t>Eso Shyamala Sundor</t>
        </is>
      </c>
      <c r="C34" t="inlineStr">
        <is>
          <t>24780262</t>
        </is>
      </c>
      <c r="D34" s="26" t="n">
        <v>0</v>
      </c>
      <c r="E34" s="26" t="n">
        <v>0.05</v>
      </c>
      <c r="F34" s="16" t="n"/>
      <c r="G34" s="17" t="n">
        <v>0</v>
      </c>
      <c r="H34" s="18" t="inlineStr"/>
      <c r="I34" s="18" t="inlineStr"/>
      <c r="J34" s="19" t="n">
        <v>45961</v>
      </c>
      <c r="K34" s="20" t="n">
        <v>0.05</v>
      </c>
      <c r="L34" s="21" t="inlineStr">
        <is>
          <t>Oct 2025</t>
        </is>
      </c>
      <c r="M34" s="21" t="inlineStr">
        <is>
          <t>MRM Oct 2025 - Mar 2026</t>
        </is>
      </c>
      <c r="N34" s="22" t="n"/>
      <c r="O34" s="20" t="n"/>
      <c r="P34" s="21" t="inlineStr"/>
      <c r="Q34" s="21" t="inlineStr"/>
      <c r="R34" s="22" t="n"/>
      <c r="S34" s="20" t="n"/>
      <c r="T34" s="21" t="inlineStr"/>
      <c r="U34" s="21" t="inlineStr"/>
      <c r="V34" s="22" t="n"/>
      <c r="W34" s="20" t="n"/>
      <c r="X34" s="21" t="inlineStr"/>
      <c r="Y34" s="21" t="inlineStr"/>
      <c r="Z34" s="22" t="n"/>
      <c r="AA34" s="20" t="n"/>
      <c r="AB34" s="21" t="inlineStr"/>
      <c r="AC34" s="21" t="inlineStr"/>
      <c r="AD34" s="22" t="n"/>
      <c r="AE34" s="20" t="n"/>
      <c r="AF34" s="21" t="inlineStr"/>
      <c r="AG34" s="21" t="inlineStr"/>
      <c r="AH34" s="23" t="n">
        <v>0</v>
      </c>
      <c r="AI34" s="17" t="n">
        <v>0.05</v>
      </c>
      <c r="AJ34" s="17" t="n">
        <v>0.05</v>
      </c>
      <c r="AK34" s="24" t="inlineStr">
        <is>
          <t>Not SVF work</t>
        </is>
      </c>
      <c r="AL34" s="25" t="inlineStr">
        <is>
          <t>No - work number, song title and title-without-film-name all absent</t>
        </is>
      </c>
      <c r="AM34" s="25" t="inlineStr">
        <is>
          <t>ISRC - exact match in the MRM report (1 monthly line)</t>
        </is>
      </c>
      <c r="AN34" s="25" t="inlineStr">
        <is>
          <t>No</t>
        </is>
      </c>
    </row>
    <row r="35">
      <c r="A35" s="14" t="inlineStr">
        <is>
          <t>INE409702097</t>
        </is>
      </c>
      <c r="B35" s="14" t="inlineStr">
        <is>
          <t>Jama Amar Kalo</t>
        </is>
      </c>
      <c r="C35" s="14" t="inlineStr">
        <is>
          <t>24373259</t>
        </is>
      </c>
      <c r="D35" s="15" t="n">
        <v>0</v>
      </c>
      <c r="E35" s="15" t="n">
        <v>0.05</v>
      </c>
      <c r="F35" s="16" t="n"/>
      <c r="G35" s="17" t="n">
        <v>0</v>
      </c>
      <c r="H35" s="18" t="inlineStr"/>
      <c r="I35" s="18" t="inlineStr"/>
      <c r="J35" s="19" t="n"/>
      <c r="K35" s="20" t="n"/>
      <c r="L35" s="21" t="inlineStr"/>
      <c r="M35" s="21" t="inlineStr"/>
      <c r="N35" s="22" t="n"/>
      <c r="O35" s="20" t="n"/>
      <c r="P35" s="21" t="inlineStr"/>
      <c r="Q35" s="21" t="inlineStr"/>
      <c r="R35" s="22" t="n">
        <v>46022</v>
      </c>
      <c r="S35" s="20" t="n">
        <v>0.05</v>
      </c>
      <c r="T35" s="21" t="inlineStr">
        <is>
          <t>Dec 2025</t>
        </is>
      </c>
      <c r="U35" s="21" t="inlineStr">
        <is>
          <t>MRM Oct 2025 - Mar 2026</t>
        </is>
      </c>
      <c r="V35" s="22" t="n"/>
      <c r="W35" s="20" t="n"/>
      <c r="X35" s="21" t="inlineStr"/>
      <c r="Y35" s="21" t="inlineStr"/>
      <c r="Z35" s="22" t="n"/>
      <c r="AA35" s="20" t="n"/>
      <c r="AB35" s="21" t="inlineStr"/>
      <c r="AC35" s="21" t="inlineStr"/>
      <c r="AD35" s="22" t="n"/>
      <c r="AE35" s="20" t="n"/>
      <c r="AF35" s="21" t="inlineStr"/>
      <c r="AG35" s="21" t="inlineStr"/>
      <c r="AH35" s="23" t="n">
        <v>0</v>
      </c>
      <c r="AI35" s="17" t="n">
        <v>0.05</v>
      </c>
      <c r="AJ35" s="17" t="n">
        <v>0.05</v>
      </c>
      <c r="AK35" s="24" t="inlineStr">
        <is>
          <t>Not SVF work</t>
        </is>
      </c>
      <c r="AL35" s="25" t="inlineStr">
        <is>
          <t>No - work number, song title and title-without-film-name all absent</t>
        </is>
      </c>
      <c r="AM35" s="25" t="inlineStr">
        <is>
          <t>ISRC - exact match in the MRM report (1 monthly line)</t>
        </is>
      </c>
      <c r="AN35" s="25" t="inlineStr">
        <is>
          <t>No</t>
        </is>
      </c>
    </row>
    <row r="36">
      <c r="A36" t="inlineStr">
        <is>
          <t>INE401300227</t>
        </is>
      </c>
      <c r="B36" t="inlineStr">
        <is>
          <t>Swapno Bhanga Tukro Kancher</t>
        </is>
      </c>
      <c r="C36" t="inlineStr">
        <is>
          <t>24780348</t>
        </is>
      </c>
      <c r="D36" s="26" t="n">
        <v>0</v>
      </c>
      <c r="E36" s="26" t="n">
        <v>0.05</v>
      </c>
      <c r="F36" s="16" t="n"/>
      <c r="G36" s="17" t="n">
        <v>0</v>
      </c>
      <c r="H36" s="18" t="inlineStr"/>
      <c r="I36" s="18" t="inlineStr"/>
      <c r="J36" s="19" t="n">
        <v>45961</v>
      </c>
      <c r="K36" s="20" t="n">
        <v>0.05</v>
      </c>
      <c r="L36" s="21" t="inlineStr">
        <is>
          <t>Oct 2025</t>
        </is>
      </c>
      <c r="M36" s="21" t="inlineStr">
        <is>
          <t>MRM Oct 2025 - Mar 2026</t>
        </is>
      </c>
      <c r="N36" s="22" t="n"/>
      <c r="O36" s="20" t="n"/>
      <c r="P36" s="21" t="inlineStr"/>
      <c r="Q36" s="21" t="inlineStr"/>
      <c r="R36" s="22" t="n"/>
      <c r="S36" s="20" t="n"/>
      <c r="T36" s="21" t="inlineStr"/>
      <c r="U36" s="21" t="inlineStr"/>
      <c r="V36" s="22" t="n"/>
      <c r="W36" s="20" t="n"/>
      <c r="X36" s="21" t="inlineStr"/>
      <c r="Y36" s="21" t="inlineStr"/>
      <c r="Z36" s="22" t="n"/>
      <c r="AA36" s="20" t="n"/>
      <c r="AB36" s="21" t="inlineStr"/>
      <c r="AC36" s="21" t="inlineStr"/>
      <c r="AD36" s="22" t="n"/>
      <c r="AE36" s="20" t="n"/>
      <c r="AF36" s="21" t="inlineStr"/>
      <c r="AG36" s="21" t="inlineStr"/>
      <c r="AH36" s="23" t="n">
        <v>0</v>
      </c>
      <c r="AI36" s="17" t="n">
        <v>0.05</v>
      </c>
      <c r="AJ36" s="17" t="n">
        <v>0.05</v>
      </c>
      <c r="AK36" s="24" t="inlineStr">
        <is>
          <t>Not SVF work</t>
        </is>
      </c>
      <c r="AL36" s="25" t="inlineStr">
        <is>
          <t>No - work number, song title and title-without-film-name all absent</t>
        </is>
      </c>
      <c r="AM36" s="25" t="inlineStr">
        <is>
          <t>ISRC - exact match in the MRM report (1 monthly line)</t>
        </is>
      </c>
      <c r="AN36" s="25" t="inlineStr">
        <is>
          <t>No</t>
        </is>
      </c>
    </row>
    <row r="37">
      <c r="A37" s="27" t="n"/>
      <c r="B37" s="27" t="inlineStr">
        <is>
          <t>TOTAL  (34 songs - the songs SVF marked 'Not SVF work')</t>
        </is>
      </c>
      <c r="C37" s="27" t="n"/>
      <c r="D37" s="28">
        <f>SUM(D3:D36)</f>
        <v/>
      </c>
      <c r="E37" s="28">
        <f>SUM(E3:E36)</f>
        <v/>
      </c>
      <c r="F37" s="29" t="n"/>
      <c r="G37" s="30">
        <f>SUM(G3:G36)</f>
        <v/>
      </c>
      <c r="H37" s="31" t="n"/>
      <c r="I37" s="31" t="n"/>
      <c r="J37" s="32" t="n"/>
      <c r="K37" s="33">
        <f>SUM(K3:K36)</f>
        <v/>
      </c>
      <c r="L37" s="34" t="n"/>
      <c r="M37" s="34" t="n"/>
      <c r="N37" s="34" t="n"/>
      <c r="O37" s="33">
        <f>SUM(O3:O36)</f>
        <v/>
      </c>
      <c r="P37" s="34" t="n"/>
      <c r="Q37" s="34" t="n"/>
      <c r="R37" s="34" t="n"/>
      <c r="S37" s="33">
        <f>SUM(S3:S36)</f>
        <v/>
      </c>
      <c r="T37" s="34" t="n"/>
      <c r="U37" s="34" t="n"/>
      <c r="V37" s="34" t="n"/>
      <c r="W37" s="33">
        <f>SUM(W3:W36)</f>
        <v/>
      </c>
      <c r="X37" s="34" t="n"/>
      <c r="Y37" s="34" t="n"/>
      <c r="Z37" s="34" t="n"/>
      <c r="AA37" s="33">
        <f>SUM(AA3:AA36)</f>
        <v/>
      </c>
      <c r="AB37" s="34" t="n"/>
      <c r="AC37" s="34" t="n"/>
      <c r="AD37" s="34" t="n"/>
      <c r="AE37" s="33">
        <f>SUM(AE3:AE36)</f>
        <v/>
      </c>
      <c r="AF37" s="34" t="n"/>
      <c r="AG37" s="34" t="n"/>
      <c r="AH37" s="35">
        <f>SUM(AH3:AH36)</f>
        <v/>
      </c>
      <c r="AI37" s="36">
        <f>SUM(AI3:AI36)</f>
        <v/>
      </c>
      <c r="AJ37" s="36">
        <f>SUM(AJ3:AJ36)</f>
        <v/>
      </c>
      <c r="AK37" s="37" t="n"/>
      <c r="AL37" s="38" t="n"/>
      <c r="AM37" s="38" t="n"/>
      <c r="AN37" s="38" t="n"/>
    </row>
    <row r="39" ht="118" customHeight="1">
      <c r="A39" s="39" t="inlineStr">
        <is>
          <t>REVENUE ON THE SONGS SVF MARKED 'NOT SVF WORK', FROM IPRS AND FROM SPOTIFY.  Population: the songs SVF marked 'Not SVF work' in Songs-Missing-From-SVF-List_Updated.xlsx (source 1); the ISRC in column A and the internal number in column C are the ones SVF entered there, and a cell holding several of them is split on '|' and on ','.  No ISRC and no internal number belongs to two songs, so nothing is counted twice.  Structure and colours follow SVF-RD-SKV8; no figure is taken from it - Section A is computed from the IPRS statement (source 2) and Section B from Spotify's raw MRM report (source 3), and nothing else.  SECTION A - the statement reconciles at 113,848.57 (money lines = block sub-totals = the printed TOTAL ROYALTIES).  0 of these 34 songs are in it, and they were paid 0.00; for a song that is not in it the royalty is 0.00 and the date, period and distribution number are blank, because no statement line exists to take them from.  Every absence was tested three ways - by internal number, by song title, and by the title with the film name removed.  SECTION B - Spotify reported 172.40 of gross revenue on 34 of these songs, across 69 monthly lines against 34 ISRCs.  A blank month is a month with no reported revenue, not a zero that was inferred.  Gross revenue reported by Spotify is not a royalty distribution: column D is what IPRS actually paid, column E is what the platform reported, so the two are added together only in the column that says 'Total (Both Sources)'.  Every monthly figure and every total was computed once and then re-derived a second time straight from the raw report by a different method; the file is written only when the two agree to the paisa.</t>
        </is>
      </c>
    </row>
  </sheetData>
  <autoFilter ref="A2:AN36"/>
  <mergeCells count="5">
    <mergeCell ref="AK1:AN1"/>
    <mergeCell ref="A39:AN39"/>
    <mergeCell ref="F1:I1"/>
    <mergeCell ref="AH1:AJ1"/>
    <mergeCell ref="J1:A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2026-09-17T12:33:25Z</dcterms:created>
  <dcterms:modified xmlns:dcterms="http://purl.org/dc/terms/" xmlns:xsi="http://www.w3.org/2001/XMLSchema-instance" xsi:type="dcterms:W3CDTF">2026-09-17T12:33:25Z</dcterms:modified>
</cp:coreProperties>
</file>